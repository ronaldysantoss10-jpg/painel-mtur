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M:\SNPTUR\DEQUA\CGQT\GAB_CGQT\1 - ASSESSORIA\10 - Ações da Coordenação\2026\D - 2026\"/>
    </mc:Choice>
  </mc:AlternateContent>
  <xr:revisionPtr revIDLastSave="0" documentId="8_{E24F5FA2-C171-4CC9-9A90-00E31FBC05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vênios" sheetId="1" r:id="rId1"/>
    <sheet name="Resumo de Convênios" sheetId="2" r:id="rId2"/>
    <sheet name="Termo de Fomento" sheetId="3" r:id="rId3"/>
    <sheet name="Resumo de Fomentos" sheetId="4" r:id="rId4"/>
    <sheet name="TED" sheetId="5" r:id="rId5"/>
    <sheet name="Valores ja Repassados" sheetId="6" r:id="rId6"/>
    <sheet name="Resumo de Instrumentos Celebrad" sheetId="7" r:id="rId7"/>
    <sheet name="Instrumentos Celebrados - 2026" sheetId="8" r:id="rId8"/>
    <sheet name="Resumo dos Instrumentos Celebra" sheetId="9" r:id="rId9"/>
    <sheet name="Orçamento MTur" sheetId="10" r:id="rId10"/>
    <sheet name="Tabela dinâmica 1" sheetId="11" state="hidden" r:id="rId11"/>
  </sheets>
  <definedNames>
    <definedName name="_xlnm._FilterDatabase" localSheetId="0" hidden="1">Convênios!$A$2:$T$37</definedName>
    <definedName name="_xlnm._FilterDatabase" localSheetId="1" hidden="1">'Resumo de Convênios'!$A$1:$G$34</definedName>
    <definedName name="_xlnm._FilterDatabase" localSheetId="4" hidden="1">TED!$A$2:$O$6</definedName>
    <definedName name="_xlnm._FilterDatabase" localSheetId="2" hidden="1">'Termo de Fomento'!$A$2:$T$14</definedName>
  </definedNames>
  <calcPr calcId="191029"/>
  <pivotCaches>
    <pivotCache cacheId="968" r:id="rId12"/>
    <pivotCache cacheId="976" r:id="rId13"/>
    <pivotCache cacheId="982" r:id="rId14"/>
    <pivotCache cacheId="989" r:id="rId15"/>
    <pivotCache cacheId="996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9" l="1"/>
  <c r="C21" i="9" s="1"/>
  <c r="B19" i="9"/>
  <c r="C19" i="9" s="1"/>
  <c r="C18" i="9"/>
  <c r="B18" i="9"/>
  <c r="B20" i="9" s="1"/>
  <c r="C20" i="9" s="1"/>
  <c r="B17" i="9"/>
  <c r="C17" i="9" s="1"/>
  <c r="B16" i="9"/>
  <c r="C16" i="9" s="1"/>
  <c r="C15" i="9"/>
  <c r="B15" i="9"/>
  <c r="B9" i="9"/>
  <c r="C9" i="9" s="1"/>
  <c r="B8" i="9"/>
  <c r="C8" i="9" s="1"/>
  <c r="B7" i="9"/>
  <c r="B10" i="9" s="1"/>
  <c r="C10" i="9" s="1"/>
  <c r="C6" i="9"/>
  <c r="B6" i="9"/>
  <c r="B5" i="9"/>
  <c r="C5" i="9" s="1"/>
  <c r="B4" i="9"/>
  <c r="C4" i="9" s="1"/>
  <c r="C3" i="9"/>
  <c r="B3" i="9"/>
  <c r="S24" i="8"/>
  <c r="T24" i="8" s="1"/>
  <c r="S23" i="8"/>
  <c r="T23" i="8" s="1"/>
  <c r="S22" i="8"/>
  <c r="T22" i="8" s="1"/>
  <c r="S21" i="8"/>
  <c r="T21" i="8" s="1"/>
  <c r="T20" i="8"/>
  <c r="S20" i="8"/>
  <c r="S19" i="8"/>
  <c r="T19" i="8" s="1"/>
  <c r="S18" i="8"/>
  <c r="T18" i="8" s="1"/>
  <c r="T17" i="8"/>
  <c r="S17" i="8"/>
  <c r="I17" i="8"/>
  <c r="H17" i="8"/>
  <c r="G17" i="8"/>
  <c r="S10" i="8"/>
  <c r="T10" i="8" s="1"/>
  <c r="I9" i="8"/>
  <c r="H9" i="8"/>
  <c r="G9" i="8"/>
  <c r="S8" i="8"/>
  <c r="T8" i="8" s="1"/>
  <c r="T7" i="8"/>
  <c r="S7" i="8"/>
  <c r="S9" i="8" s="1"/>
  <c r="T9" i="8" s="1"/>
  <c r="S6" i="8"/>
  <c r="T6" i="8" s="1"/>
  <c r="S5" i="8"/>
  <c r="T5" i="8" s="1"/>
  <c r="T4" i="8"/>
  <c r="S4" i="8"/>
  <c r="J42" i="7"/>
  <c r="J41" i="7"/>
  <c r="J40" i="7"/>
  <c r="J39" i="7"/>
  <c r="L35" i="7"/>
  <c r="L34" i="7"/>
  <c r="T33" i="7"/>
  <c r="U33" i="7" s="1"/>
  <c r="L33" i="7"/>
  <c r="U32" i="7"/>
  <c r="T32" i="7"/>
  <c r="T34" i="7" s="1"/>
  <c r="U34" i="7" s="1"/>
  <c r="L32" i="7"/>
  <c r="U31" i="7"/>
  <c r="T31" i="7"/>
  <c r="L31" i="7"/>
  <c r="U30" i="7"/>
  <c r="T30" i="7"/>
  <c r="L30" i="7"/>
  <c r="U29" i="7"/>
  <c r="T29" i="7"/>
  <c r="L29" i="7"/>
  <c r="L25" i="7"/>
  <c r="L24" i="7"/>
  <c r="U23" i="7"/>
  <c r="T23" i="7"/>
  <c r="L23" i="7"/>
  <c r="U22" i="7"/>
  <c r="T22" i="7"/>
  <c r="T24" i="7" s="1"/>
  <c r="U24" i="7" s="1"/>
  <c r="L22" i="7"/>
  <c r="U21" i="7"/>
  <c r="T21" i="7"/>
  <c r="L21" i="7"/>
  <c r="U20" i="7"/>
  <c r="T20" i="7"/>
  <c r="L20" i="7"/>
  <c r="U19" i="7"/>
  <c r="T19" i="7"/>
  <c r="L19" i="7"/>
  <c r="U18" i="7"/>
  <c r="T18" i="7"/>
  <c r="L18" i="7"/>
  <c r="U17" i="7"/>
  <c r="T17" i="7"/>
  <c r="L17" i="7"/>
  <c r="L16" i="7"/>
  <c r="L15" i="7"/>
  <c r="L14" i="7"/>
  <c r="L13" i="7"/>
  <c r="L12" i="7"/>
  <c r="T11" i="7"/>
  <c r="U11" i="7" s="1"/>
  <c r="L11" i="7"/>
  <c r="U10" i="7"/>
  <c r="T10" i="7"/>
  <c r="T12" i="7" s="1"/>
  <c r="U12" i="7" s="1"/>
  <c r="L10" i="7"/>
  <c r="U9" i="7"/>
  <c r="T9" i="7"/>
  <c r="L9" i="7"/>
  <c r="U8" i="7"/>
  <c r="T8" i="7"/>
  <c r="L8" i="7"/>
  <c r="U7" i="7"/>
  <c r="T7" i="7"/>
  <c r="L7" i="7"/>
  <c r="U6" i="7"/>
  <c r="T6" i="7"/>
  <c r="L6" i="7"/>
  <c r="U5" i="7"/>
  <c r="T5" i="7"/>
  <c r="L5" i="7"/>
  <c r="L4" i="7"/>
  <c r="L3" i="7"/>
  <c r="L2" i="7"/>
  <c r="C7" i="9" l="1"/>
  <c r="S11" i="8"/>
  <c r="T11" i="8" s="1"/>
  <c r="B22" i="9"/>
  <c r="C22" i="9" s="1"/>
</calcChain>
</file>

<file path=xl/sharedStrings.xml><?xml version="1.0" encoding="utf-8"?>
<sst xmlns="http://schemas.openxmlformats.org/spreadsheetml/2006/main" count="1838" uniqueCount="471">
  <si>
    <t>Dados Básicos do Instrumento</t>
  </si>
  <si>
    <t>Situação do Repasse Financeiro</t>
  </si>
  <si>
    <t>Status da Cláusula Suspensiva e Aditivo</t>
  </si>
  <si>
    <t>Categorização de Motivos</t>
  </si>
  <si>
    <t>Contatos</t>
  </si>
  <si>
    <t>Ano</t>
  </si>
  <si>
    <t>Nome do proponente</t>
  </si>
  <si>
    <t>UF do Proponente</t>
  </si>
  <si>
    <t>Instrumento</t>
  </si>
  <si>
    <t>Número da Proposta</t>
  </si>
  <si>
    <t>Número do processo SEI</t>
  </si>
  <si>
    <t>Objeto</t>
  </si>
  <si>
    <t>Modalidade</t>
  </si>
  <si>
    <t>Código do Programa</t>
  </si>
  <si>
    <t>Parlamentar Solicitante</t>
  </si>
  <si>
    <t>Data Início de Vigência</t>
  </si>
  <si>
    <t>Data Término de Vigência Atual</t>
  </si>
  <si>
    <t>Valor de Repasse da Proposta</t>
  </si>
  <si>
    <t>Valor Global</t>
  </si>
  <si>
    <t>Valor do Empenho</t>
  </si>
  <si>
    <t>Repasse Financeiro Realizado?</t>
  </si>
  <si>
    <t>Valor Já Repassado (MTur)</t>
  </si>
  <si>
    <t>Saiu da Cláusula Suspensiva?</t>
  </si>
  <si>
    <t>Termo Aditivo Assinado?</t>
  </si>
  <si>
    <t>Motivo da Permanência na Cláusula Suspensiva</t>
  </si>
  <si>
    <t>Telefone</t>
  </si>
  <si>
    <t>E-mail</t>
  </si>
  <si>
    <t>Data do Repasse</t>
  </si>
  <si>
    <t>Secretaria Estadual de Turismo do Rio Grande do Norte  (SETUR-RN)</t>
  </si>
  <si>
    <t>RN</t>
  </si>
  <si>
    <t>Convênio nº 970061/2024</t>
  </si>
  <si>
    <t>005283/2024</t>
  </si>
  <si>
    <t>72031.002432/2024-84</t>
  </si>
  <si>
    <t>Qualificação e Capacitação para profissionais que atuam ou pretendem atuar na área de turismo nos municípios de Currais Novos, Cerro Corá, Lagoa Nova, Carnaúba dos Dantas e Parelhas, Felipe Guerra, Portalegre e Patu, localizados na região do Seridó, IGR Rota do Frio e Oeste Potiguar do Rio Grande do Norte.</t>
  </si>
  <si>
    <t>RP6</t>
  </si>
  <si>
    <t>Fernando Mineiro</t>
  </si>
  <si>
    <t>SIM</t>
  </si>
  <si>
    <t>(84) 98113-2313</t>
  </si>
  <si>
    <t>kalinesetur@gmail.com ; seturqualificacão@gmail.com</t>
  </si>
  <si>
    <t>Serviço Nacional de Aprendizagem Comercial do Rio Grande do Norte (SENAC-RN)</t>
  </si>
  <si>
    <t>Convênio nº 970093/2024</t>
  </si>
  <si>
    <t>006142/2024</t>
  </si>
  <si>
    <t>72031.002426/2024-27</t>
  </si>
  <si>
    <t xml:space="preserve">Desenvolvimento do turismo no interior do Rio Grande do Norte, oportunizando a sustentabilidade turística, impulsionando o crescimento econômico, inclusivo e sustentável, do turismo e da cultura, por meio de ações de consultoria e qualificação para formação do trade turístico e da comunidade. </t>
  </si>
  <si>
    <t>Rogério Marinho</t>
  </si>
  <si>
    <t>(84) 99152-8548</t>
  </si>
  <si>
    <t>IgorG@rn.senac.br</t>
  </si>
  <si>
    <t>SERVICO DE APOIO AS MICRO E PEQUENAS EMPRESAS DE SE (SEBRAE)</t>
  </si>
  <si>
    <t>SE</t>
  </si>
  <si>
    <t>Convênio nº 970062/2024</t>
  </si>
  <si>
    <t>001673/2024</t>
  </si>
  <si>
    <t>72031.002433/2024-29</t>
  </si>
  <si>
    <t>Implementação de ações de qualificação destinados à realização de estudos, capacitações e eventos voltados para os trabalhadores do setor do turismo, microempreendedores individuais, microempresas, produtores locais associados ao turismo, artesãos e gestores públicos e privados do estado de Sergipe.</t>
  </si>
  <si>
    <t>Yandra Moura</t>
  </si>
  <si>
    <t>(79) 9633-9585</t>
  </si>
  <si>
    <t>direx@se.sebrae.com.br</t>
  </si>
  <si>
    <t>SECRETARIA DE ESTADO DE TURISMO (SETUR-PA)</t>
  </si>
  <si>
    <t>Status das Ressalvas e Aditivo</t>
  </si>
  <si>
    <t>PA</t>
  </si>
  <si>
    <t>Convênio nº 969365/2024</t>
  </si>
  <si>
    <t>024089/2024</t>
  </si>
  <si>
    <t>72031.007271/2023-34</t>
  </si>
  <si>
    <t>Qualificar o maior número de prestadores de serviço do turismo nas cidades de Belém, Ananindeua, Marituba e Benevides. Planeja-se, também, acompanhar e monitorar a inserção das pessoas atendidas no mercado de trabalho do turismo, com vistas a garantir a incorporação de mão de obra qualificada e alcançar o objetivo primeiro desta proposta. Para isso, pretende-se contratar empresa especializada para executar os cursos pretendidos, sob acompanhamento e fiscalização da Secretaria de Estado de Turismo do Pará.</t>
  </si>
  <si>
    <t>RP2</t>
  </si>
  <si>
    <t>MINISTRO</t>
  </si>
  <si>
    <t>NÃO</t>
  </si>
  <si>
    <t>Foi Assinado mas ALDO pediu para segurar o cadastro do TA</t>
  </si>
  <si>
    <t>(91) 9275-0780</t>
  </si>
  <si>
    <t>raylime.costa@setur.pa.gov.br</t>
  </si>
  <si>
    <t>MUNICIPIO DE WENCESLAU GUIMARAES</t>
  </si>
  <si>
    <t>Convênio nº 982062/2025</t>
  </si>
  <si>
    <t>044302/2025</t>
  </si>
  <si>
    <t>72031.007745/2025-18</t>
  </si>
  <si>
    <t>Implementação do Projeto Esporte Transformando Vidas, no Município de Wenceslau Guimarães-BA.</t>
  </si>
  <si>
    <t>RP8</t>
  </si>
  <si>
    <t>Dal Barreto</t>
  </si>
  <si>
    <t>NÃO FEZ O ENVIO DA PLANILHA E NEM DO TR ATUALIZADO</t>
  </si>
  <si>
    <t>(73) 99979-4436</t>
  </si>
  <si>
    <t>gabrielandrade_gomes@hotmail.com</t>
  </si>
  <si>
    <t>Saiu das Ressalvas?</t>
  </si>
  <si>
    <t>MUNICIPIO DE PORANGATU</t>
  </si>
  <si>
    <t>GO</t>
  </si>
  <si>
    <t>Convênio nº 981938/2025</t>
  </si>
  <si>
    <t>045921/2025</t>
  </si>
  <si>
    <t>Motivo da Permanência nas Ressalvas</t>
  </si>
  <si>
    <t>72031.007744/2025-65</t>
  </si>
  <si>
    <t>Realização de cursos e oficinas de qualificação profissional voltados a prestadores de serviços turísticos no município de Porangatu-Go.</t>
  </si>
  <si>
    <t>José Nelto</t>
  </si>
  <si>
    <t xml:space="preserve">THIAGO ESTÁ ANALISANDO </t>
  </si>
  <si>
    <t>(62) 99314-8683</t>
  </si>
  <si>
    <t>conveniosporangatu2021@gmail.com</t>
  </si>
  <si>
    <t>MUNICIPIO DE NATAL</t>
  </si>
  <si>
    <t>Associação Brasileira da Indústria de Hotéis do Rio Grande do Norte - ABIH/RN</t>
  </si>
  <si>
    <t>Convênio nº 988080/2025</t>
  </si>
  <si>
    <t>065869/2025</t>
  </si>
  <si>
    <t>72031.010978/2025-90</t>
  </si>
  <si>
    <t>Execução de ações de qualificação profissional no setor turistico de Natal, por meio de cursos e capacitações</t>
  </si>
  <si>
    <t>Termo de Fomento nº 971418/2024</t>
  </si>
  <si>
    <t>035534/2024</t>
  </si>
  <si>
    <t>Pedro Lucas Fernandes</t>
  </si>
  <si>
    <t>72031.009417/2024-67</t>
  </si>
  <si>
    <t>Promover formação profissional, oportunizando o desenvolvimento do turismo local, a sustentabilidade turística, impulsionando o crescimento econômico e sustentável, do turismo e da cultura, do estado do Rio Grande do Norte.</t>
  </si>
  <si>
    <t>(84) 3232-4907</t>
  </si>
  <si>
    <t>gestores.sempla@natal.rn.gov.br</t>
  </si>
  <si>
    <t>MUNICÍPIO DO CONDE</t>
  </si>
  <si>
    <t>PB</t>
  </si>
  <si>
    <t>Convênio nº 982177/2025</t>
  </si>
  <si>
    <t>058187/2025</t>
  </si>
  <si>
    <t>72031.009014/2025-07</t>
  </si>
  <si>
    <t>Realização de cursos de qualificação profissional voltados a prestadores de serviços turísticos.</t>
  </si>
  <si>
    <t>Cabo Gilberto Silva</t>
  </si>
  <si>
    <t>(83) 99649-0180</t>
  </si>
  <si>
    <t>gabinetedaprefeita@conde.pb.gov.br</t>
  </si>
  <si>
    <t xml:space="preserve">MUNICIPIO DE TRAJANO DE MORAIS </t>
  </si>
  <si>
    <t>RJ</t>
  </si>
  <si>
    <t>Convênio nº 981834/2025</t>
  </si>
  <si>
    <t>046999/2025</t>
  </si>
  <si>
    <t>72031.007737/2025-63</t>
  </si>
  <si>
    <t>Dani Cunha</t>
  </si>
  <si>
    <t>(22) 2564-1115</t>
  </si>
  <si>
    <t>gmc@trajanodemoraes.rj.gov.br</t>
  </si>
  <si>
    <t>MUNICIPIO DE CAPELA</t>
  </si>
  <si>
    <t>Convênio nº 981970/2025</t>
  </si>
  <si>
    <t>053406/2025</t>
  </si>
  <si>
    <t>72031.007719/2025-81</t>
  </si>
  <si>
    <t>Realização de cursos de qualificação profissional voltados a prestadores de serviços turísticos, no município de Capela/SE.</t>
  </si>
  <si>
    <t>NT E TA EM ANALISE ALDO</t>
  </si>
  <si>
    <t>Pedro Lucas Fernandes/Dep Yandra</t>
  </si>
  <si>
    <t>(84) 99211-4315
(84) 3202-2746</t>
  </si>
  <si>
    <t>presidencia@abihrn.com.br</t>
  </si>
  <si>
    <t>TIAGO MENDES ESTÁ ANALISANDO</t>
  </si>
  <si>
    <t>(79) 99889-8295</t>
  </si>
  <si>
    <t>gabinete@capela.se.gov.br</t>
  </si>
  <si>
    <t>INSTITUTO NACIONAL DE PARCERIAS PUBLICAS - INPP</t>
  </si>
  <si>
    <t>SECRETARIA DO DESENVOLVIMENTO ECONOMICO -  Luzilândia/PI</t>
  </si>
  <si>
    <t>DF</t>
  </si>
  <si>
    <t>PI</t>
  </si>
  <si>
    <t>Convênio nº 981840/2025</t>
  </si>
  <si>
    <t>Termo de Fomento nº 988679/2025</t>
  </si>
  <si>
    <t>055620/2025</t>
  </si>
  <si>
    <t>72031.008914/2025-29</t>
  </si>
  <si>
    <t>065987/2025</t>
  </si>
  <si>
    <t>Realização de Cursos de Qualificação Profissional Voltados a Prestadores de Serviços Turísticos no Município de Luzilândia – PI.</t>
  </si>
  <si>
    <t>72031.011036/2025-29</t>
  </si>
  <si>
    <t>Realização do projeto Qualifica Turismo</t>
  </si>
  <si>
    <t>Florentino Neto</t>
  </si>
  <si>
    <t>Doutor Luizinho</t>
  </si>
  <si>
    <t>FALTA CGFC PUBLICAR O TA</t>
  </si>
  <si>
    <t>(86) 98858-1816</t>
  </si>
  <si>
    <t>sde@sde.pi.gov.br</t>
  </si>
  <si>
    <t>ESTADO DO ACRE</t>
  </si>
  <si>
    <t>AC</t>
  </si>
  <si>
    <t>Convênio nº 984749/2025</t>
  </si>
  <si>
    <t>062060/2025</t>
  </si>
  <si>
    <t>72031.009977/2025-01</t>
  </si>
  <si>
    <t>(61) 99870-3785</t>
  </si>
  <si>
    <t>Realização de cursos de qualificação profissional voltados aos prestadores de serviços turísticos, promovendo a melhoria da qualidade dos serviços, a valorização da cultura local, a geração de emprego e renda e o fortalecimento da competitividade do destino Acre.</t>
  </si>
  <si>
    <t>institutoinppsocial@gmail.com</t>
  </si>
  <si>
    <t>Eduardo Velloso</t>
  </si>
  <si>
    <t>INSTITUTO SOCIAL DE CAPELANIA EDUCACIONAL E CULTURAL DO MARANHAO ISCEC MA</t>
  </si>
  <si>
    <t>MA</t>
  </si>
  <si>
    <t>Termo de Fomento nº 988537/2025</t>
  </si>
  <si>
    <t>065935/2025</t>
  </si>
  <si>
    <t>72031.011033/2025-95</t>
  </si>
  <si>
    <t>Realização de Cursos de Qualificação voltados a prestadores de serviços turísticos.</t>
  </si>
  <si>
    <t>FALTA O PROPONENTE AJUSTAR O PT</t>
  </si>
  <si>
    <t>(22) 99738-1433</t>
  </si>
  <si>
    <t>aldelice.souza@ac.gov.br</t>
  </si>
  <si>
    <t>MUNICÍPIO DE ITALVA</t>
  </si>
  <si>
    <t>Convênio nº 982182/2025</t>
  </si>
  <si>
    <t>058330/2025</t>
  </si>
  <si>
    <t>72031.009016/2025-98</t>
  </si>
  <si>
    <t>Realização de cursos de qualificação profissional voltados aos prestadores de serviços turísticos no Município de Italva/RJ.</t>
  </si>
  <si>
    <t>Marcos Soares</t>
  </si>
  <si>
    <t>(98) 98809-1276</t>
  </si>
  <si>
    <t>iscecma2025@gmail.com</t>
  </si>
  <si>
    <t>INSTITUTO CONEXAO</t>
  </si>
  <si>
    <t>Termo de Fomento nº 987800/2025</t>
  </si>
  <si>
    <t>065398/2025</t>
  </si>
  <si>
    <t>con.conveniositalva@gmail.com</t>
  </si>
  <si>
    <t>MUNICIPIO DE CAREIRO</t>
  </si>
  <si>
    <t>AM</t>
  </si>
  <si>
    <t>Convênio nº 982173/2025</t>
  </si>
  <si>
    <t>046967/2025</t>
  </si>
  <si>
    <t>72031.007739/2025-52</t>
  </si>
  <si>
    <t>Realização de cursos de qualificação profissional voltados a prestadores de serviços turísticos do município de Careiro/AM.</t>
  </si>
  <si>
    <t>Pauderney Avelino</t>
  </si>
  <si>
    <t>FALTA CADASTRAR O TA</t>
  </si>
  <si>
    <t>(92) 99344-9190</t>
  </si>
  <si>
    <t>pref.careiro@hotmail.com</t>
  </si>
  <si>
    <t>MUNICIPIO DE TIBAU DO SUL</t>
  </si>
  <si>
    <t>Convênio nº 981972/2025</t>
  </si>
  <si>
    <t>048276/2025</t>
  </si>
  <si>
    <t>72031.007727/2025-28</t>
  </si>
  <si>
    <t>72031.010787/2025-28</t>
  </si>
  <si>
    <t>PROMOVER A QUALIFICAÇÃO PROFISSIONAL NO MUNICÍPIO DE TIBAU DO SUL-RN</t>
  </si>
  <si>
    <t>Implementação do Projeto Rio Destino 360 no Estado do Rio de Janeiro.</t>
  </si>
  <si>
    <t>Benes Leocádio</t>
  </si>
  <si>
    <t>Otoni de Paula</t>
  </si>
  <si>
    <t>(84) 98839-0730</t>
  </si>
  <si>
    <t>seturtibaudosul@gmail.com</t>
  </si>
  <si>
    <t>MUNICIPIO DE NILOPOLIS</t>
  </si>
  <si>
    <t>Convênio nº 982154/2025</t>
  </si>
  <si>
    <t>048504/2025</t>
  </si>
  <si>
    <t>Data Término de Vigência</t>
  </si>
  <si>
    <t>72031.007723/2025-40</t>
  </si>
  <si>
    <t xml:space="preserve">(21) 97523-6226
(21) 983418620 </t>
  </si>
  <si>
    <t>Promover a qualificação profissional da população de Nilópolis e adjacências, ampliando as oportunidades de inserção produtiva e contribuindo para o desenvolvimento sustentável do turismo na Região Turística Baixada Verde.</t>
  </si>
  <si>
    <t>institutoconexaooficial@gmail.com</t>
  </si>
  <si>
    <t>Ricardo Abrão</t>
  </si>
  <si>
    <t>INSTITUTO RESGATE ONG ESCOLA VOLUNTARIA AGRICOLA</t>
  </si>
  <si>
    <t>Termo de Fomento nº 981884/2025</t>
  </si>
  <si>
    <t>057787/2025</t>
  </si>
  <si>
    <t>72031.008882/2025-61</t>
  </si>
  <si>
    <t>Realização de Cursos de Qualificação Profissional voltados a prestadores de serviços dos setores turísticos do Estado do Maranhão.</t>
  </si>
  <si>
    <t>(22) 99765-0323</t>
  </si>
  <si>
    <t>abraaodavid@nilopolis.rj.gov.br</t>
  </si>
  <si>
    <t>MUNICIPIO DE CANINDE DE SAO FRANCISCO</t>
  </si>
  <si>
    <t>Convênio nº 981733/2025</t>
  </si>
  <si>
    <t>048648/2025</t>
  </si>
  <si>
    <t>72031.007722/2025-03</t>
  </si>
  <si>
    <t>Realização de cursos de qualificação profissional voltados a prestadores de serviços turísticos, com foco em hospitalidade, atendimento, sustentabilidade e inclusão.</t>
  </si>
  <si>
    <t>(79) 9922-1220</t>
  </si>
  <si>
    <t>(98) 98250-4907</t>
  </si>
  <si>
    <t>institutoresgateong@gmail.com</t>
  </si>
  <si>
    <t>randerson@caninde.se.gov.br</t>
  </si>
  <si>
    <t>MUNICIPIO DE SOBRAL</t>
  </si>
  <si>
    <t>INSTITUTO FUTURE DE JUVENTUDE PROMOÇÃO TURISMO</t>
  </si>
  <si>
    <t>CE</t>
  </si>
  <si>
    <t>Convênio nº 982143/2025</t>
  </si>
  <si>
    <t>056109/2025</t>
  </si>
  <si>
    <t>Termo de Fomento nº 982190/2025</t>
  </si>
  <si>
    <t>72031.008756/2025-15</t>
  </si>
  <si>
    <t>048761/2025</t>
  </si>
  <si>
    <t xml:space="preserve">Realizar cursos de qualificação profissional voltados a prestadores de serviços turísticos em Sobral - CE </t>
  </si>
  <si>
    <t>72031.007746/2025-54</t>
  </si>
  <si>
    <t>Realizar a qualificação para os profissionais da área de turismo de eventos</t>
  </si>
  <si>
    <t>Moses Rodrigues</t>
  </si>
  <si>
    <t>Dayany Bittencourt</t>
  </si>
  <si>
    <t>(88)99618-2204</t>
  </si>
  <si>
    <t>carlosamaral@sobral.ce.gov.br</t>
  </si>
  <si>
    <t>Convênio nº 982074/2025</t>
  </si>
  <si>
    <t>047412/2025</t>
  </si>
  <si>
    <t>72031.007733/2025-85</t>
  </si>
  <si>
    <t>Realização de cursos de qualificação profissional voltados à cadeia produtiva do turismo de Sobral - CE.</t>
  </si>
  <si>
    <t>(85) 3034-7974</t>
  </si>
  <si>
    <t>institutofuture@gmail.com; edna.c.v@gmail.com ou  financeiro.instituto01@gmail.com</t>
  </si>
  <si>
    <t>INSTITUTO SOMAR SOLUÇÃO BRASIL</t>
  </si>
  <si>
    <t xml:space="preserve">TA PUBLICADO </t>
  </si>
  <si>
    <t>Termo de Fomento nº 981981/2025</t>
  </si>
  <si>
    <t>(88) 3677-1100
(88)99618-2204</t>
  </si>
  <si>
    <t>047523/2025</t>
  </si>
  <si>
    <t>72031.007747/2025-07</t>
  </si>
  <si>
    <t>MUNICIPIO DE IAÇU</t>
  </si>
  <si>
    <t>BA</t>
  </si>
  <si>
    <t>Convênio nº 982032/2025</t>
  </si>
  <si>
    <t>048766/2025</t>
  </si>
  <si>
    <t>72031.007721/2025-51</t>
  </si>
  <si>
    <t>Murillo Gouvea</t>
  </si>
  <si>
    <t>AGUARDANDO AJUSTES NO TGOV PELO PROPONENTE</t>
  </si>
  <si>
    <t>(21) 99759-8450</t>
  </si>
  <si>
    <t>(75) 98238-4540</t>
  </si>
  <si>
    <t>diretoriaexecutiva.somar@gmail.com</t>
  </si>
  <si>
    <t>gabineteiacu21@gmail.com</t>
  </si>
  <si>
    <t>ASSOCIAÇÃO CONSTRUIR DE ASSISTENCIA SOCIAL</t>
  </si>
  <si>
    <t>Termo de Fomento nº 982185/2025</t>
  </si>
  <si>
    <t>SECRETARIA DO DESENVOLVIMENTO ECONOMICO - Teresina/PI</t>
  </si>
  <si>
    <t>045968/2025</t>
  </si>
  <si>
    <t>Convênio nº 981837/2025</t>
  </si>
  <si>
    <t>72031.007749/2025-98</t>
  </si>
  <si>
    <t>055573/2025</t>
  </si>
  <si>
    <t>72031.008918/2025-15</t>
  </si>
  <si>
    <t>Realização de cursos de qualificação profissional voltados a prestadores de serviços turísticos nos municípios de Guapimirim e Búzios – RJ.</t>
  </si>
  <si>
    <t>Realização de Cursos de Qualificação Profissional Voltados a Prestadores de Serviços Turísticos no Município de Teresina – PI.</t>
  </si>
  <si>
    <t>Empresa Estadual de Turismo do Amazonas</t>
  </si>
  <si>
    <t>Juninho do Pneu</t>
  </si>
  <si>
    <t>Convênio nº 981882/2025</t>
  </si>
  <si>
    <t>(21) 98134-9150
(21) 98206-2395</t>
  </si>
  <si>
    <t>Convênio nº 982176/2025</t>
  </si>
  <si>
    <t>borgesadvogadosbr@gmail.com</t>
  </si>
  <si>
    <t>046938/2025</t>
  </si>
  <si>
    <t>72031.007587/2025-98</t>
  </si>
  <si>
    <t>Realização de cursos de qualificação profissional para prestadores de serviços turísticos no Estado do Pará.</t>
  </si>
  <si>
    <t>LIGA BRASILEIRA DE CLUBES DE BOXE</t>
  </si>
  <si>
    <t>048072/2025</t>
  </si>
  <si>
    <t>026743/2026</t>
  </si>
  <si>
    <t>72031.007729/2025-17</t>
  </si>
  <si>
    <t>72031.007306/2026-88</t>
  </si>
  <si>
    <t>Realização de cursos de qualificação profissional voltados a gestores públicos, trabalhadores e gestores do setor turístico.</t>
  </si>
  <si>
    <t>Fausto Santos Jr.</t>
  </si>
  <si>
    <t>Execução do projeto Turismo em Movimento: Capacitação para o Turismo Esportivo no Rio de Janeiro, destinado à capacitação gratuita de 450 pessoas, de ambos os sexos, com idade entre 18 e 45 anos, para atuação na cadeia do turismo esportivo, com foco na qualificação de serviços relacionados à recepção de visitantes, atendimento ao turista, hospitalidade, apoio operacional, empreendedorismo, sustentabilidade, segurança turística e organização de atividades vinculadas a grandes eventos esportivos. O projeto será realizado nos municípios de Paracambi/RJ e Rio de Janeiro/RJ, em formato híbrido, com atividades presenciais e online, durante o período de 90 dias, buscando ampliar as oportunidades de inclusão produtiva, geração de renda e participação da população local nas atividades econômicas relacionadas ao turismo esportivo, especialmente em contextos de eventos de grande circulação, como competições de boxe e demais modalidades esportivas de interesse turístico.</t>
  </si>
  <si>
    <t>DR. Flavio Campos Ferreira</t>
  </si>
  <si>
    <t xml:space="preserve">(92) 98112-0362 </t>
  </si>
  <si>
    <t>FUNDACAO WALL FERRAZ</t>
  </si>
  <si>
    <t>convenios@amazonastur.am.gov.br</t>
  </si>
  <si>
    <t>Convênio nº 981951/2025</t>
  </si>
  <si>
    <t>SECRETARIA DO DESENVOLVIMENTO ECONOMICO - Parnaíba/PI</t>
  </si>
  <si>
    <t>Convênio nº 981838/2025</t>
  </si>
  <si>
    <t>055597/2025</t>
  </si>
  <si>
    <t>72031.008917/2025-62</t>
  </si>
  <si>
    <t>Realização de Cursos de Qualificação Profissional Voltados a Prestadores de Serviços Turísticos no Município de Parnaíba – PI.</t>
  </si>
  <si>
    <t>058243/2025</t>
  </si>
  <si>
    <t>IMPEDIMENTO TÉCNICO</t>
  </si>
  <si>
    <t>72031.008951/2025-37</t>
  </si>
  <si>
    <t>(61) 99214-3725</t>
  </si>
  <si>
    <t>Teresina Cidade Verde: qualificar e capacitar para conectar e fortalecer as rotas turísticas</t>
  </si>
  <si>
    <t>Fauziprojetos@gmail.com</t>
  </si>
  <si>
    <t>Julio Arcoverde</t>
  </si>
  <si>
    <t>ADEMINAS AGENCIA DE DESENVOLVIMENTO ECONOMICO E SOCIAL DO ESTADO DE MINAS GERAIS</t>
  </si>
  <si>
    <t>MG</t>
  </si>
  <si>
    <t>Termo de Fomento nº 7AAAJN/2026</t>
  </si>
  <si>
    <t>027839/2026</t>
  </si>
  <si>
    <t>72031.005809/2026-19</t>
  </si>
  <si>
    <t>Zé Vitor</t>
  </si>
  <si>
    <t>(86) 99576-3845</t>
  </si>
  <si>
    <t>fwf@pmt.pi.gov.br</t>
  </si>
  <si>
    <t>SECRETARIA DE ESTADO DE ASSISTENCIA SOCIAL,TRABALHO,EMPREGO E RENDA (SEASTER-PA)</t>
  </si>
  <si>
    <t>Convênio nº 981933/2025</t>
  </si>
  <si>
    <t>48483/2025</t>
  </si>
  <si>
    <t>72031.007724/2025-94</t>
  </si>
  <si>
    <t>Dilvanda Faro</t>
  </si>
  <si>
    <t xml:space="preserve">pedi para ajustarem o atestado de capacidade tecnica </t>
  </si>
  <si>
    <t>MUNICIPIO DE GUARAREMA - CGTURES</t>
  </si>
  <si>
    <t>Convênio nº 982171/2025</t>
  </si>
  <si>
    <t>(34) 99953-3941</t>
  </si>
  <si>
    <t>atendimento@ademinas.com.br</t>
  </si>
  <si>
    <t>ABRASOCIAL ASSOCIACAO BRASILEIRA SERVICOS SOCIAIS - CGTURES</t>
  </si>
  <si>
    <t>Termo de Fomento nº 999084/2026</t>
  </si>
  <si>
    <t>011309/2026</t>
  </si>
  <si>
    <t>AJUSTES AUTORIZADOS, AGUARDANDO PROPONENTE REALIZAR</t>
  </si>
  <si>
    <t>72031.005102/2026-11</t>
  </si>
  <si>
    <t>(94) 9134-9966</t>
  </si>
  <si>
    <t>CGUTRES TA FAZENDO O TERMO  ADITIVO</t>
  </si>
  <si>
    <t>IMPLEMENTAÇÃO DE PROGRAMA DE QUALIFICAÇÃO PROFISSIONAL AOS PROFISSIONAIS DE ATENDIMENTO DO RIO DE JANEIRO</t>
  </si>
  <si>
    <t>seasterpa@yahoo.com.br</t>
  </si>
  <si>
    <t>Marcelo Crivella</t>
  </si>
  <si>
    <t>Em Complementação</t>
  </si>
  <si>
    <t xml:space="preserve"> SP</t>
  </si>
  <si>
    <t>(21) 97928-6967</t>
  </si>
  <si>
    <t>clmreis.2023@gmail.com</t>
  </si>
  <si>
    <t>047176/2025</t>
  </si>
  <si>
    <t>72031.007735/2025-74</t>
  </si>
  <si>
    <t>INSTITUTO SOMAR SOLUÇAO BRASIL</t>
  </si>
  <si>
    <t>Elaboração de Projeto Piloto de Adaptação do Turismo às Mudanças Climáticas em Guararema-SP.</t>
  </si>
  <si>
    <t>Termo de Fomento nº 7AAEOA/2026</t>
  </si>
  <si>
    <t>031236/2026</t>
  </si>
  <si>
    <t>Deputado Federal David Soares</t>
  </si>
  <si>
    <t>72031.007850/2026-20</t>
  </si>
  <si>
    <t>(11) 4693-8000</t>
  </si>
  <si>
    <t>Enviado para analise</t>
  </si>
  <si>
    <t>claudia.borges@guararema.sp.gov.br</t>
  </si>
  <si>
    <t>SERVICO NACIONAL DE APRENDIZAGEM COMERCIAL - SENAC - AR/RN</t>
  </si>
  <si>
    <t>Convênio nº 978164/2025</t>
  </si>
  <si>
    <t>026461/2025</t>
  </si>
  <si>
    <t>72031.004919/2025-82</t>
  </si>
  <si>
    <t>Desenvolvimento do turismo no interior do Rio Grande do Norte, oportunizando a sustentabilidade turística, impulsionando o crescimento econômico, inclusivo e sustentável, do turismo e da cultura, por meio de ações qualificação para formação do trade turístico e da comunidade, visando aumentar o fluxo turístico e a redução do desemprego com a interiorização do turismo nos municípios.</t>
  </si>
  <si>
    <t xml:space="preserve"> (84) 99152-8548</t>
  </si>
  <si>
    <t>MUNICIPIO DE MARTINOPOLE</t>
  </si>
  <si>
    <t>Convênio nº 994695/2026</t>
  </si>
  <si>
    <t>016094/2026</t>
  </si>
  <si>
    <t>72031.003111/2026-69</t>
  </si>
  <si>
    <t>Realização de cursos de qualificação profissional voltados a cadeia produtiva do turismo de Martinópole</t>
  </si>
  <si>
    <t>EM EXECUÇÃO</t>
  </si>
  <si>
    <t xml:space="preserve">Falta contrapartida e processo licitatório </t>
  </si>
  <si>
    <t>(88) 3627-1300</t>
  </si>
  <si>
    <t>pmmartinopole@gmail.com</t>
  </si>
  <si>
    <t>MUNICIPIO DE UMIRIM</t>
  </si>
  <si>
    <t>Convênio nº 994697/2026</t>
  </si>
  <si>
    <t>016277/2026</t>
  </si>
  <si>
    <t>72031.003167/2026-13</t>
  </si>
  <si>
    <t>(85) 99807-5926</t>
  </si>
  <si>
    <t>prefeitura.umirim@yahoo.com</t>
  </si>
  <si>
    <t>SECRETARIA DE ESTADO DO TURISMO E DO DESENVOLVIMENTO ECONOMICO - Paraiba/PB</t>
  </si>
  <si>
    <t>Convênio nº 994933/2026</t>
  </si>
  <si>
    <t>016757/2026</t>
  </si>
  <si>
    <t>72031.003282/2026-98</t>
  </si>
  <si>
    <t>Qualificação profissional e fortalecimento da gestão empresarial no setor turístico do Estado da Paraíba, por meio da execução descentralizada de cursos, oficinas, formações técnicas e consultorias, em parceria com o Instituto Federal da Paraíba (IFPB), o Serviço de Apoio às Micro e Pequenas Empresas (SEBRAE/PB) e o Serviço Nacional do Aprendizagem Comercial (SENAC/PB).</t>
  </si>
  <si>
    <t>Não apresentaram o processo licitatório</t>
  </si>
  <si>
    <t>(83) 99140-2899</t>
  </si>
  <si>
    <t>rosalia.lucas@setde.pb.gov.br</t>
  </si>
  <si>
    <t xml:space="preserve">ESTADO DO MARANHÃO - SECRETARIA DE ESTADO DO DESENVOLVIMENTO SOCIAL </t>
  </si>
  <si>
    <t>Convênio nº 7AABQQ/2026</t>
  </si>
  <si>
    <t>029175/2026</t>
  </si>
  <si>
    <t>72031.006356/2026-48</t>
  </si>
  <si>
    <t>Promover a qualificação profissional, a inclusão produtiva e a empregabilidade de beneficiários do Programa Maranhão Livre da Fome, pessoas inscritas no Cadastro Único para Programas Sociais do Governo Federal (CadÚnico), trabalhadores e empreendedores da cadeia produtiva do turismo, por meio da oferta de cursos de formação profissional, ações de empreendedorismo, consultorias especializadas e mecanismos de inserção no mercado de trabalho, contribuindo para a geração de emprego e renda, o fortalecimento dos pequenos negócios turísticos, a melhoria da qualidade dos serviços ofertados e o desenvolvimento sustentável dos destinos turísticos do Estado do Maranhão.</t>
  </si>
  <si>
    <t>EM COMPLEMENTAÇÃO</t>
  </si>
  <si>
    <t>Apresentarem documentos na aba anexos</t>
  </si>
  <si>
    <t>(98) 2016-9200</t>
  </si>
  <si>
    <t>gabsedes.ma@gmail.com</t>
  </si>
  <si>
    <t>Convênio nº 7AAAMY/2026</t>
  </si>
  <si>
    <t>010275/2026</t>
  </si>
  <si>
    <t>72031.004566/2026-00</t>
  </si>
  <si>
    <t>Realizar cursos de qualificação profissional voltados a prestadores de serviços turísticos e a comunidade, oportunizando o desenvolvimento do turismo local, a sustentabilidade turística, impulsionando o crescimento econômico, inclusivo e sustentável, do turismo e da cultura, do estado do Rio Grande do Norte.</t>
  </si>
  <si>
    <t>MUNICIPIO DE NISIA FLORESTA</t>
  </si>
  <si>
    <t>Convênio nº 7AADYR/2026</t>
  </si>
  <si>
    <t>026609/2026</t>
  </si>
  <si>
    <t>72031.007272/2026-21</t>
  </si>
  <si>
    <t>Capacitação e Qualificação para o setor de Turismo em Nísia Floresta/RN</t>
  </si>
  <si>
    <t>(84) 98167-7071</t>
  </si>
  <si>
    <t>prefeito@nisiafloresta.rn.gov.br</t>
  </si>
  <si>
    <t>MUNICÍPIO DE BAIA FORMOSA</t>
  </si>
  <si>
    <t>034396/2026</t>
  </si>
  <si>
    <t>72031.008655/2026-17</t>
  </si>
  <si>
    <t>NÃO CADASTRADO</t>
  </si>
  <si>
    <t>Status</t>
  </si>
  <si>
    <t>Valor Total do Plano de Ação</t>
  </si>
  <si>
    <t>Situação</t>
  </si>
  <si>
    <t>Observações</t>
  </si>
  <si>
    <t>INSTITUTO FEDERAL DO PIAUÍ</t>
  </si>
  <si>
    <t xml:space="preserve"> TED nº  987841/2025</t>
  </si>
  <si>
    <t>72031.009540/2025-69</t>
  </si>
  <si>
    <t>Em execução</t>
  </si>
  <si>
    <t>INSTITUTO FEDERAL DO PIAUÍ - CGST</t>
  </si>
  <si>
    <t xml:space="preserve"> TED nº 990795/2025</t>
  </si>
  <si>
    <t>72031.011729/2025-11</t>
  </si>
  <si>
    <t>Universidade Federal de Brasília</t>
  </si>
  <si>
    <t xml:space="preserve"> TED nº 985434/2025</t>
  </si>
  <si>
    <t>72031.003454/2025-42</t>
  </si>
  <si>
    <t>Saldo de R$ 502.240,00 aguardando indicação de recurso</t>
  </si>
  <si>
    <t>Instituto Federal de Educação, Ciência e Tecnologia do Maranhão</t>
  </si>
  <si>
    <t xml:space="preserve"> TED nº 988799/2025</t>
  </si>
  <si>
    <t>72031.009969/2025-56</t>
  </si>
  <si>
    <t>SECRETARIA DE ESTADO DE TURISMO</t>
  </si>
  <si>
    <t>Valor Global - VALOR MTUR + CONTRAPARTIDA</t>
  </si>
  <si>
    <t>Valor do Empenho - REPASSE MTUR</t>
  </si>
  <si>
    <t>% Valor já repassado</t>
  </si>
  <si>
    <t>SECRETARIA DE ESTADO DE ASSISTENCIA SOCIAL,TRABALHO,EMPREGO E RENDA</t>
  </si>
  <si>
    <t xml:space="preserve"> 057787/2025</t>
  </si>
  <si>
    <t>Resumo de Convênios - 2025</t>
  </si>
  <si>
    <t>Quantitativo</t>
  </si>
  <si>
    <t>Percentual</t>
  </si>
  <si>
    <t>Quantitativo de Convênios Celebrados 2025</t>
  </si>
  <si>
    <t>Saiu da Cláusula Suspensiva</t>
  </si>
  <si>
    <t>Está na Cláusula Suspensiva</t>
  </si>
  <si>
    <t>Celebrado?</t>
  </si>
  <si>
    <t>Termo Aditivo Assinado</t>
  </si>
  <si>
    <t>CELEBRADO</t>
  </si>
  <si>
    <t>sem clausula suspensiva</t>
  </si>
  <si>
    <t>Termo Aditivo não Assinado</t>
  </si>
  <si>
    <t>sem aditivo</t>
  </si>
  <si>
    <t>Resumo de Convênios - 2026</t>
  </si>
  <si>
    <t>Valor total Empenhado</t>
  </si>
  <si>
    <t>Quantitativo de Convênios  2026</t>
  </si>
  <si>
    <t>Valor total de Repasse (MTur)</t>
  </si>
  <si>
    <t>Total empenhado mas não repassado</t>
  </si>
  <si>
    <t>NÃO CELEBRADO</t>
  </si>
  <si>
    <t>-</t>
  </si>
  <si>
    <t>Celebrado em 2026</t>
  </si>
  <si>
    <t>Convênio nº 982074/2025</t>
  </si>
  <si>
    <t>Resumo de Termos de Fomento - 2025</t>
  </si>
  <si>
    <t>Pendente de Celebração em 2026</t>
  </si>
  <si>
    <t>Convênio nº 982143/2025</t>
  </si>
  <si>
    <t>Quantitativo de Fomentos Celebrados 2025</t>
  </si>
  <si>
    <t>Valor total Comprometido (Empenhado+Não Empenhado)</t>
  </si>
  <si>
    <t>Saiu das Ressalvas</t>
  </si>
  <si>
    <t>Não Saiu das Ressalvas</t>
  </si>
  <si>
    <t>Valor a Empenhar</t>
  </si>
  <si>
    <t>Resumo de TEDs - 2025</t>
  </si>
  <si>
    <t>Termo de Fomento s/n</t>
  </si>
  <si>
    <t>Valor</t>
  </si>
  <si>
    <t>Resumo de Termos de Fomento - 2026</t>
  </si>
  <si>
    <t>Quantitativo de Teds Celebrados 2025</t>
  </si>
  <si>
    <t>Quantitativo de Fomentos  2026</t>
  </si>
  <si>
    <t>TEDs em Execução</t>
  </si>
  <si>
    <t>TEDs Paralisados</t>
  </si>
  <si>
    <t>Total celebrado empenhado</t>
  </si>
  <si>
    <t xml:space="preserve"> </t>
  </si>
  <si>
    <t>A diferença de R$ 502.240,00 (1,90%) corresponde ao valor empenhado do TED nº 985434/2025 com a Universidade Federal de Brasília - UnB, esta aguardando indicação de recurso</t>
  </si>
  <si>
    <t/>
  </si>
  <si>
    <t>Total Geral</t>
  </si>
  <si>
    <t>(vazio)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</si>
</sst>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_([$R$ -416]* #,##0.00_);_([$R$ -416]* \(#,##0.00\);_([$R$ -416]* &quot;-&quot;??_);_(@_)"/>
    <numFmt numFmtId="166" formatCode="#,##0.00;\(#,##0.00\)"/>
  </numFmts>
  <fonts count="13">
    <font>
      <sz val="10"/>
      <color rgb="FF000000"/>
      <name val="Verdana"/>
      <scheme val="minor"/>
    </font>
    <font>
      <b/>
      <sz val="10"/>
      <color rgb="FF000000"/>
      <name val="Verdana"/>
      <family val="2"/>
      <scheme val="minor"/>
    </font>
    <font>
      <sz val="10"/>
      <name val="Verdana"/>
      <family val="2"/>
    </font>
    <font>
      <b/>
      <sz val="10"/>
      <color theme="1"/>
      <name val="Verdana"/>
      <family val="2"/>
      <scheme val="minor"/>
    </font>
    <font>
      <sz val="10"/>
      <color theme="1"/>
      <name val="Verdana"/>
      <family val="2"/>
      <scheme val="minor"/>
    </font>
    <font>
      <sz val="10"/>
      <color theme="1"/>
      <name val="Verdana"/>
      <family val="2"/>
      <scheme val="minor"/>
    </font>
    <font>
      <sz val="10"/>
      <color theme="1"/>
      <name val="Verdana"/>
      <family val="2"/>
    </font>
    <font>
      <sz val="11"/>
      <color theme="1"/>
      <name val="Verdana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FFFFFF"/>
      <name val="Verdana"/>
      <family val="2"/>
      <scheme val="minor"/>
    </font>
    <font>
      <b/>
      <sz val="10"/>
      <color rgb="FFFFFFFF"/>
      <name val="&quot;Google Sans Text&quot;"/>
    </font>
    <font>
      <sz val="10"/>
      <color theme="1"/>
      <name val="&quot;Google Sans Text&quot;"/>
    </font>
  </fonts>
  <fills count="11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274E13"/>
        <bgColor rgb="FF274E13"/>
      </patternFill>
    </fill>
    <fill>
      <patternFill patternType="solid">
        <fgColor rgb="FF0C343D"/>
        <bgColor rgb="FF0C343D"/>
      </patternFill>
    </fill>
    <fill>
      <patternFill patternType="solid">
        <fgColor rgb="FF7F6000"/>
        <bgColor rgb="FF7F6000"/>
      </patternFill>
    </fill>
    <fill>
      <patternFill patternType="solid">
        <fgColor rgb="FF073763"/>
        <bgColor rgb="FF073763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2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65" fontId="4" fillId="0" borderId="4" xfId="0" applyNumberFormat="1" applyFont="1" applyBorder="1" applyAlignment="1">
      <alignment vertical="center" wrapText="1"/>
    </xf>
    <xf numFmtId="0" fontId="4" fillId="0" borderId="0" xfId="0" applyFont="1"/>
    <xf numFmtId="0" fontId="4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center" vertical="center"/>
    </xf>
    <xf numFmtId="14" fontId="4" fillId="4" borderId="4" xfId="0" applyNumberFormat="1" applyFont="1" applyFill="1" applyBorder="1" applyAlignment="1">
      <alignment horizontal="center" vertical="center" wrapText="1"/>
    </xf>
    <xf numFmtId="165" fontId="4" fillId="4" borderId="4" xfId="0" applyNumberFormat="1" applyFont="1" applyFill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/>
    <xf numFmtId="0" fontId="8" fillId="2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165" fontId="9" fillId="0" borderId="4" xfId="0" applyNumberFormat="1" applyFont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0" borderId="4" xfId="0" applyFont="1" applyBorder="1"/>
    <xf numFmtId="165" fontId="9" fillId="0" borderId="4" xfId="0" applyNumberFormat="1" applyFont="1" applyBorder="1" applyAlignment="1">
      <alignment horizontal="right" vertical="center" wrapText="1"/>
    </xf>
    <xf numFmtId="10" fontId="4" fillId="0" borderId="4" xfId="0" applyNumberFormat="1" applyFont="1" applyBorder="1" applyAlignment="1">
      <alignment horizontal="center" vertical="center" wrapText="1"/>
    </xf>
    <xf numFmtId="10" fontId="4" fillId="0" borderId="0" xfId="0" applyNumberFormat="1" applyFont="1"/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0" fontId="4" fillId="0" borderId="4" xfId="0" applyNumberFormat="1" applyFont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/>
    </xf>
    <xf numFmtId="165" fontId="3" fillId="3" borderId="4" xfId="0" applyNumberFormat="1" applyFont="1" applyFill="1" applyBorder="1" applyAlignment="1">
      <alignment horizontal="center" vertical="center" wrapText="1"/>
    </xf>
    <xf numFmtId="10" fontId="4" fillId="0" borderId="5" xfId="0" applyNumberFormat="1" applyFont="1" applyBorder="1" applyAlignment="1">
      <alignment horizontal="center" vertical="center"/>
    </xf>
    <xf numFmtId="0" fontId="11" fillId="10" borderId="4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165" fontId="12" fillId="0" borderId="4" xfId="0" applyNumberFormat="1" applyFont="1" applyBorder="1"/>
    <xf numFmtId="0" fontId="10" fillId="8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8" fillId="2" borderId="1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wrapText="1"/>
    </xf>
    <xf numFmtId="0" fontId="0" fillId="0" borderId="0" xfId="0"/>
    <xf numFmtId="0" fontId="0" fillId="0" borderId="6" xfId="0" applyBorder="1"/>
    <xf numFmtId="0" fontId="0" fillId="0" borderId="6" xfId="0" pivotButton="1" applyBorder="1"/>
    <xf numFmtId="0" fontId="0" fillId="0" borderId="7" xfId="0" applyBorder="1"/>
    <xf numFmtId="0" fontId="0" fillId="0" borderId="8" xfId="0" applyBorder="1"/>
    <xf numFmtId="0" fontId="0" fillId="0" borderId="6" xfId="0" applyNumberFormat="1" applyBorder="1"/>
    <xf numFmtId="0" fontId="0" fillId="0" borderId="8" xfId="0" applyNumberFormat="1" applyBorder="1"/>
    <xf numFmtId="0" fontId="0" fillId="0" borderId="9" xfId="0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pivotButton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8" xfId="0" applyNumberFormat="1" applyBorder="1"/>
    <xf numFmtId="0" fontId="0" fillId="0" borderId="19" xfId="0" applyBorder="1"/>
    <xf numFmtId="0" fontId="0" fillId="0" borderId="20" xfId="0" applyNumberFormat="1" applyBorder="1"/>
    <xf numFmtId="0" fontId="0" fillId="0" borderId="0" xfId="0" applyNumberFormat="1"/>
  </cellXfs>
  <cellStyles count="1">
    <cellStyle name="Normal" xfId="0" builtinId="0"/>
  </cellStyles>
  <dxfs count="4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FFE599"/>
          <bgColor rgb="FFFFE599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rgb="FFB4A7D6"/>
          <bgColor rgb="FFB4A7D6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F6B26B"/>
          <bgColor rgb="FFF6B26B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F6B26B"/>
          <bgColor rgb="FFF6B26B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FFE599"/>
          <bgColor rgb="FFFFE599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rgb="FFB4A7D6"/>
          <bgColor rgb="FFB4A7D6"/>
        </patternFill>
      </fill>
    </dxf>
    <dxf>
      <font>
        <b/>
      </font>
      <fill>
        <patternFill patternType="solid">
          <fgColor rgb="FFFFFF00"/>
          <bgColor rgb="FFFFFF00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F6B26B"/>
          <bgColor rgb="FFF6B26B"/>
        </patternFill>
      </fill>
    </dxf>
    <dxf>
      <font>
        <b/>
      </font>
      <fill>
        <patternFill patternType="solid">
          <fgColor rgb="FF6D9EEB"/>
          <bgColor rgb="FF6D9EEB"/>
        </patternFill>
      </fill>
    </dxf>
    <dxf>
      <font>
        <b/>
      </font>
      <fill>
        <patternFill patternType="solid">
          <fgColor rgb="FF93C47D"/>
          <bgColor rgb="FF93C47D"/>
        </patternFill>
      </fill>
    </dxf>
    <dxf>
      <font>
        <b/>
      </font>
      <fill>
        <patternFill patternType="solid">
          <fgColor rgb="FFF6B26B"/>
          <bgColor rgb="FFF6B26B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ont>
        <b/>
      </font>
      <fill>
        <patternFill patternType="solid">
          <fgColor rgb="FF9FC5E8"/>
          <bgColor rgb="FF9FC5E8"/>
        </patternFill>
      </fill>
    </dxf>
    <dxf>
      <font>
        <b/>
      </font>
      <fill>
        <patternFill patternType="solid">
          <fgColor rgb="FFFFE599"/>
          <bgColor rgb="FFFFE5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naldy Luiz Ferreira dos Santos" refreshedDate="46308.500451157408" refreshedVersion="8" recordCount="4" xr:uid="{00000000-000A-0000-FFFF-FFFF04000000}">
  <cacheSource type="worksheet">
    <worksheetSource ref="A2:O6" sheet="TED"/>
  </cacheSource>
  <cacheFields count="15">
    <cacheField name="Ano" numFmtId="0">
      <sharedItems containsSemiMixedTypes="0" containsString="0" containsNumber="1" containsInteger="1" minValue="2025" maxValue="2025"/>
    </cacheField>
    <cacheField name="Nome do proponente" numFmtId="0">
      <sharedItems count="4">
        <s v="INSTITUTO FEDERAL DO PIAUÍ"/>
        <s v="INSTITUTO FEDERAL DO PIAUÍ - CGST"/>
        <s v="Universidade Federal de Brasília"/>
        <s v="Instituto Federal de Educação, Ciência e Tecnologia do Maranhão"/>
      </sharedItems>
    </cacheField>
    <cacheField name="UF do Proponente" numFmtId="0">
      <sharedItems/>
    </cacheField>
    <cacheField name="Instrumento" numFmtId="0">
      <sharedItems/>
    </cacheField>
    <cacheField name="Número do processo SEI" numFmtId="0">
      <sharedItems/>
    </cacheField>
    <cacheField name="Modalidade" numFmtId="0">
      <sharedItems/>
    </cacheField>
    <cacheField name="Parlamentar Solicitante" numFmtId="0">
      <sharedItems/>
    </cacheField>
    <cacheField name="Data Início de Vigência" numFmtId="0">
      <sharedItems containsSemiMixedTypes="0" containsNonDate="0" containsDate="1" containsString="0" minDate="2025-11-04T00:00:00" maxDate="2026-01-01T00:00:00"/>
    </cacheField>
    <cacheField name="Data Término de Vigência Atual" numFmtId="0">
      <sharedItems containsSemiMixedTypes="0" containsNonDate="0" containsDate="1" containsString="0" minDate="2026-12-12T00:00:00" maxDate="2027-06-06T00:00:00"/>
    </cacheField>
    <cacheField name="Valor Total do Plano de Ação" numFmtId="165">
      <sharedItems containsSemiMixedTypes="0" containsString="0" containsNumber="1" containsInteger="1" minValue="4002240" maxValue="12500000"/>
    </cacheField>
    <cacheField name="Valor Global" numFmtId="165">
      <sharedItems containsSemiMixedTypes="0" containsString="0" containsNumber="1" containsInteger="1" minValue="4002240" maxValue="12500000"/>
    </cacheField>
    <cacheField name="Repasse Financeiro Realizado?" numFmtId="0">
      <sharedItems/>
    </cacheField>
    <cacheField name="Valor Já Repassado (MTur)" numFmtId="165">
      <sharedItems containsSemiMixedTypes="0" containsString="0" containsNumber="1" containsInteger="1" minValue="3500000" maxValue="12500000"/>
    </cacheField>
    <cacheField name="Situação" numFmtId="0">
      <sharedItems/>
    </cacheField>
    <cacheField name="Observaçõ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naldy Luiz Ferreira dos Santos" refreshedDate="46308.500451388885" refreshedVersion="8" recordCount="11" xr:uid="{00000000-000A-0000-FFFF-FFFF03000000}">
  <cacheSource type="worksheet">
    <worksheetSource ref="A2:T13" sheet="Termo de Fomento"/>
  </cacheSource>
  <cacheFields count="20">
    <cacheField name="Ano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Nome do proponente" numFmtId="0">
      <sharedItems count="11">
        <s v="Associação Brasileira da Indústria de Hotéis do Rio Grande do Norte - ABIH/RN"/>
        <s v="INSTITUTO NACIONAL DE PARCERIAS PUBLICAS - INPP"/>
        <s v="INSTITUTO SOCIAL DE CAPELANIA EDUCACIONAL E CULTURAL DO MARANHAO ISCEC MA"/>
        <s v="INSTITUTO CONEXAO"/>
        <s v="INSTITUTO RESGATE ONG ESCOLA VOLUNTARIA AGRICOLA"/>
        <s v="INSTITUTO FUTURE DE JUVENTUDE PROMOÇÃO TURISMO"/>
        <s v="INSTITUTO SOMAR SOLUÇÃO BRASIL"/>
        <s v="ASSOCIAÇÃO CONSTRUIR DE ASSISTENCIA SOCIAL"/>
        <s v="LIGA BRASILEIRA DE CLUBES DE BOXE"/>
        <s v="ADEMINAS AGENCIA DE DESENVOLVIMENTO ECONOMICO E SOCIAL DO ESTADO DE MINAS GERAIS"/>
        <s v="ABRASOCIAL ASSOCIACAO BRASILEIRA SERVICOS SOCIAIS - CGTURES"/>
      </sharedItems>
    </cacheField>
    <cacheField name="UF do Proponente" numFmtId="0">
      <sharedItems/>
    </cacheField>
    <cacheField name="Instrumento" numFmtId="0">
      <sharedItems containsBlank="1" count="11">
        <s v="Termo de Fomento nº 971418/2024"/>
        <s v="Termo de Fomento nº 988679/2025"/>
        <s v="Termo de Fomento nº 988537/2025"/>
        <s v="Termo de Fomento nº 987800/2025"/>
        <s v="Termo de Fomento nº 981884/2025"/>
        <s v="Termo de Fomento nº 982190/2025"/>
        <s v="Termo de Fomento nº 981981/2025"/>
        <s v="Termo de Fomento nº 982185/2025"/>
        <m/>
        <s v="Termo de Fomento nº 7AAAJN/2026"/>
        <s v="Termo de Fomento nº 999084/2026"/>
      </sharedItems>
    </cacheField>
    <cacheField name="Número da Proposta" numFmtId="0">
      <sharedItems/>
    </cacheField>
    <cacheField name="Número do processo SEI" numFmtId="0">
      <sharedItems/>
    </cacheField>
    <cacheField name="Objeto" numFmtId="0">
      <sharedItems/>
    </cacheField>
    <cacheField name="Modalidade" numFmtId="0">
      <sharedItems/>
    </cacheField>
    <cacheField name="Código do Programa" numFmtId="0">
      <sharedItems containsSemiMixedTypes="0" containsString="0" containsNumber="1" containsInteger="1" minValue="5400020240014" maxValue="5400020260023" count="4">
        <n v="5400020240014"/>
        <n v="5400020250016"/>
        <n v="5400020260023"/>
        <n v="5400020260009"/>
      </sharedItems>
    </cacheField>
    <cacheField name="Parlamentar Solicitante" numFmtId="0">
      <sharedItems/>
    </cacheField>
    <cacheField name="Data Início de Vigência" numFmtId="0">
      <sharedItems containsSemiMixedTypes="0" containsNonDate="0" containsDate="1" containsString="0" minDate="2024-12-31T00:00:00" maxDate="2026-07-20T00:00:00"/>
    </cacheField>
    <cacheField name="Data Término de Vigência Atual" numFmtId="0">
      <sharedItems containsSemiMixedTypes="0" containsNonDate="0" containsDate="1" containsString="0" minDate="2026-10-01T00:00:00" maxDate="2027-07-19T00:00:00"/>
    </cacheField>
    <cacheField name="Valor de Repasse da Proposta" numFmtId="165">
      <sharedItems containsSemiMixedTypes="0" containsString="0" containsNumber="1" containsInteger="1" minValue="250000" maxValue="5000000"/>
    </cacheField>
    <cacheField name="Valor Global" numFmtId="165">
      <sharedItems containsSemiMixedTypes="0" containsString="0" containsNumber="1" containsInteger="1" minValue="250000" maxValue="5000000"/>
    </cacheField>
    <cacheField name="Valor do Empenho" numFmtId="165">
      <sharedItems containsString="0" containsBlank="1" containsNumber="1" containsInteger="1" minValue="250000" maxValue="5000000"/>
    </cacheField>
    <cacheField name="Repasse Financeiro Realizado?" numFmtId="0">
      <sharedItems/>
    </cacheField>
    <cacheField name="Valor Já Repassado (MTur)" numFmtId="165">
      <sharedItems containsString="0" containsBlank="1" containsNumber="1" containsInteger="1" minValue="300000" maxValue="5000000"/>
    </cacheField>
    <cacheField name="Saiu das Ressalvas?" numFmtId="0">
      <sharedItems/>
    </cacheField>
    <cacheField name="Termo Aditivo Assinado?" numFmtId="0">
      <sharedItems/>
    </cacheField>
    <cacheField name="Motivo da Permanência nas Ressalvas" numFmtId="0">
      <sharedItems containsBlank="1" count="5">
        <s v="NT E TA EM ANALISE ALDO"/>
        <m/>
        <s v="IMPEDIMENTO TÉCNICO"/>
        <s v="pedi para ajustarem o atestado de capacidade tecnica "/>
        <s v="Em Complementaçã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naldy Luiz Ferreira dos Santos" refreshedDate="46308.50045162037" refreshedVersion="8" recordCount="12" xr:uid="{00000000-000A-0000-FFFF-FFFF02000000}">
  <cacheSource type="worksheet">
    <worksheetSource ref="A2:T14" sheet="Termo de Fomento"/>
  </cacheSource>
  <cacheFields count="20">
    <cacheField name="Ano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Nome do proponente" numFmtId="0">
      <sharedItems count="12">
        <s v="Associação Brasileira da Indústria de Hotéis do Rio Grande do Norte - ABIH/RN"/>
        <s v="INSTITUTO NACIONAL DE PARCERIAS PUBLICAS - INPP"/>
        <s v="INSTITUTO SOCIAL DE CAPELANIA EDUCACIONAL E CULTURAL DO MARANHAO ISCEC MA"/>
        <s v="INSTITUTO CONEXAO"/>
        <s v="INSTITUTO RESGATE ONG ESCOLA VOLUNTARIA AGRICOLA"/>
        <s v="INSTITUTO FUTURE DE JUVENTUDE PROMOÇÃO TURISMO"/>
        <s v="INSTITUTO SOMAR SOLUÇÃO BRASIL"/>
        <s v="ASSOCIAÇÃO CONSTRUIR DE ASSISTENCIA SOCIAL"/>
        <s v="LIGA BRASILEIRA DE CLUBES DE BOXE"/>
        <s v="ADEMINAS AGENCIA DE DESENVOLVIMENTO ECONOMICO E SOCIAL DO ESTADO DE MINAS GERAIS"/>
        <s v="ABRASOCIAL ASSOCIACAO BRASILEIRA SERVICOS SOCIAIS - CGTURES"/>
        <s v="INSTITUTO SOMAR SOLUÇAO BRASIL"/>
      </sharedItems>
    </cacheField>
    <cacheField name="UF do Proponente" numFmtId="0">
      <sharedItems/>
    </cacheField>
    <cacheField name="Instrumento" numFmtId="0">
      <sharedItems containsBlank="1"/>
    </cacheField>
    <cacheField name="Número da Proposta" numFmtId="0">
      <sharedItems count="12">
        <s v="035534/2024"/>
        <s v="065987/2025"/>
        <s v="065935/2025"/>
        <s v="065398/2025"/>
        <s v="057787/2025"/>
        <s v="048761/2025"/>
        <s v="047523/2025"/>
        <s v="045968/2025"/>
        <s v="026743/2026"/>
        <s v="027839/2026"/>
        <s v="011309/2026"/>
        <s v="031236/2026"/>
      </sharedItems>
    </cacheField>
    <cacheField name="Número do processo SEI" numFmtId="0">
      <sharedItems/>
    </cacheField>
    <cacheField name="Objeto" numFmtId="0">
      <sharedItems/>
    </cacheField>
    <cacheField name="Modalidade" numFmtId="0">
      <sharedItems/>
    </cacheField>
    <cacheField name="Código do Programa" numFmtId="0">
      <sharedItems containsSemiMixedTypes="0" containsString="0" containsNumber="1" containsInteger="1" minValue="5400020240014" maxValue="5400020260023"/>
    </cacheField>
    <cacheField name="Parlamentar Solicitante" numFmtId="0">
      <sharedItems/>
    </cacheField>
    <cacheField name="Data Início de Vigência" numFmtId="0">
      <sharedItems containsSemiMixedTypes="0" containsNonDate="0" containsDate="1" containsString="0" minDate="2024-12-31T00:00:00" maxDate="2026-12-02T00:00:00"/>
    </cacheField>
    <cacheField name="Data Término de Vigência Atual" numFmtId="0">
      <sharedItems containsSemiMixedTypes="0" containsNonDate="0" containsDate="1" containsString="0" minDate="2026-10-01T00:00:00" maxDate="2027-10-01T00:00:00"/>
    </cacheField>
    <cacheField name="Valor de Repasse da Proposta" numFmtId="165">
      <sharedItems containsSemiMixedTypes="0" containsString="0" containsNumber="1" containsInteger="1" minValue="250000" maxValue="5000000"/>
    </cacheField>
    <cacheField name="Valor Global" numFmtId="165">
      <sharedItems containsSemiMixedTypes="0" containsString="0" containsNumber="1" containsInteger="1" minValue="250000" maxValue="5000000"/>
    </cacheField>
    <cacheField name="Valor do Empenho" numFmtId="165">
      <sharedItems containsString="0" containsBlank="1" containsNumber="1" containsInteger="1" minValue="250000" maxValue="5000000"/>
    </cacheField>
    <cacheField name="Repasse Financeiro Realizado?" numFmtId="0">
      <sharedItems/>
    </cacheField>
    <cacheField name="Valor Já Repassado (MTur)" numFmtId="165">
      <sharedItems containsString="0" containsBlank="1" containsNumber="1" containsInteger="1" minValue="300000" maxValue="5000000"/>
    </cacheField>
    <cacheField name="Saiu das Ressalvas?" numFmtId="0">
      <sharedItems/>
    </cacheField>
    <cacheField name="Termo Aditivo Assinado?" numFmtId="0">
      <sharedItems/>
    </cacheField>
    <cacheField name="Motivo da Permanência nas Ressalv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naldy Luiz Ferreira dos Santos" refreshedDate="46308.500451736109" refreshedVersion="8" recordCount="34" xr:uid="{00000000-000A-0000-FFFF-FFFF01000000}">
  <cacheSource type="worksheet">
    <worksheetSource ref="A2:T36" sheet="Convênios"/>
  </cacheSource>
  <cacheFields count="20">
    <cacheField name="Ano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Nome do proponente" numFmtId="0">
      <sharedItems count="31">
        <s v="Secretaria Estadual de Turismo do Rio Grande do Norte  (SETUR-RN)"/>
        <s v="Serviço Nacional de Aprendizagem Comercial do Rio Grande do Norte (SENAC-RN)"/>
        <s v="SERVICO DE APOIO AS MICRO E PEQUENAS EMPRESAS DE SE (SEBRAE)"/>
        <s v="SECRETARIA DE ESTADO DE TURISMO (SETUR-PA)"/>
        <s v="MUNICIPIO DE WENCESLAU GUIMARAES"/>
        <s v="MUNICIPIO DE PORANGATU"/>
        <s v="MUNICIPIO DE NATAL"/>
        <s v="MUNICÍPIO DO CONDE"/>
        <s v="MUNICIPIO DE TRAJANO DE MORAIS "/>
        <s v="MUNICIPIO DE CAPELA"/>
        <s v="SECRETARIA DO DESENVOLVIMENTO ECONOMICO -  Luzilândia/PI"/>
        <s v="ESTADO DO ACRE"/>
        <s v="MUNICÍPIO DE ITALVA"/>
        <s v="MUNICIPIO DE CAREIRO"/>
        <s v="MUNICIPIO DE TIBAU DO SUL"/>
        <s v="MUNICIPIO DE NILOPOLIS"/>
        <s v="MUNICIPIO DE CANINDE DE SAO FRANCISCO"/>
        <s v="MUNICIPIO DE SOBRAL"/>
        <s v="MUNICIPIO DE IAÇU"/>
        <s v="SECRETARIA DO DESENVOLVIMENTO ECONOMICO - Teresina/PI"/>
        <s v="Empresa Estadual de Turismo do Amazonas"/>
        <s v="SECRETARIA DO DESENVOLVIMENTO ECONOMICO - Parnaíba/PI"/>
        <s v="FUNDACAO WALL FERRAZ"/>
        <s v="SECRETARIA DE ESTADO DE ASSISTENCIA SOCIAL,TRABALHO,EMPREGO E RENDA (SEASTER-PA)"/>
        <s v="MUNICIPIO DE GUARAREMA - CGTURES"/>
        <s v="SERVICO NACIONAL DE APRENDIZAGEM COMERCIAL - SENAC - AR/RN"/>
        <s v="MUNICIPIO DE MARTINOPOLE"/>
        <s v="MUNICIPIO DE UMIRIM"/>
        <s v="SECRETARIA DE ESTADO DO TURISMO E DO DESENVOLVIMENTO ECONOMICO - Paraiba/PB"/>
        <s v="ESTADO DO MARANHÃO - SECRETARIA DE ESTADO DO DESENVOLVIMENTO SOCIAL "/>
        <s v="MUNICIPIO DE NISIA FLORESTA"/>
      </sharedItems>
    </cacheField>
    <cacheField name="UF do Proponente" numFmtId="0">
      <sharedItems/>
    </cacheField>
    <cacheField name="Instrumento" numFmtId="0">
      <sharedItems count="34">
        <s v="Convênio nº 970061/2024"/>
        <s v="Convênio nº 970093/2024"/>
        <s v="Convênio nº 970062/2024"/>
        <s v="Convênio nº 969365/2024"/>
        <s v="Convênio nº 982062/2025"/>
        <s v="Convênio nº 981938/2025"/>
        <s v="Convênio nº 988080/2025"/>
        <s v="Convênio nº 982177/2025"/>
        <s v="Convênio nº 981834/2025"/>
        <s v="Convênio nº 981970/2025"/>
        <s v="Convênio nº 981840/2025"/>
        <s v="Convênio nº 984749/2025"/>
        <s v="Convênio nº 982182/2025"/>
        <s v="Convênio nº 982173/2025"/>
        <s v="Convênio nº 981972/2025"/>
        <s v="Convênio nº 982154/2025"/>
        <s v="Convênio nº 981733/2025"/>
        <s v="Convênio nº 982143/2025"/>
        <s v="Convênio nº 982074/2025"/>
        <s v="Convênio nº 982032/2025"/>
        <s v="Convênio nº 981837/2025"/>
        <s v="Convênio nº 982176/2025"/>
        <s v="Convênio nº 981882/2025"/>
        <s v="Convênio nº 981838/2025"/>
        <s v="Convênio nº 981951/2025"/>
        <s v="Convênio nº 981933/2025"/>
        <s v="Convênio nº 982171/2025"/>
        <s v="Convênio nº 978164/2025"/>
        <s v="Convênio nº 994695/2026"/>
        <s v="Convênio nº 994697/2026"/>
        <s v="Convênio nº 994933/2026"/>
        <s v="Convênio nº 7AABQQ/2026"/>
        <s v="Convênio nº 7AAAMY/2026"/>
        <s v="Convênio nº 7AADYR/2026"/>
      </sharedItems>
    </cacheField>
    <cacheField name="Número da Proposta" numFmtId="0">
      <sharedItems/>
    </cacheField>
    <cacheField name="Número do processo SEI" numFmtId="0">
      <sharedItems/>
    </cacheField>
    <cacheField name="Objeto" numFmtId="0">
      <sharedItems/>
    </cacheField>
    <cacheField name="Modalidade" numFmtId="0">
      <sharedItems/>
    </cacheField>
    <cacheField name="Código do Programa" numFmtId="0">
      <sharedItems containsSemiMixedTypes="0" containsString="0" containsNumber="1" containsInteger="1" minValue="5400020240008" maxValue="5400020260018" count="6">
        <n v="5400020240008"/>
        <n v="5400020240012"/>
        <n v="5400020250017"/>
        <n v="5400020250019"/>
        <n v="5400020260018"/>
        <n v="5400020260017"/>
      </sharedItems>
    </cacheField>
    <cacheField name="Parlamentar Solicitante" numFmtId="0">
      <sharedItems/>
    </cacheField>
    <cacheField name="Data Início de Vigência" numFmtId="0">
      <sharedItems containsSemiMixedTypes="0" containsNonDate="0" containsDate="1" containsString="0" minDate="2024-12-13T00:00:00" maxDate="2026-12-11T00:00:00"/>
    </cacheField>
    <cacheField name="Data Término de Vigência Atual" numFmtId="0">
      <sharedItems containsSemiMixedTypes="0" containsNonDate="0" containsDate="1" containsString="0" minDate="2026-12-30T00:00:00" maxDate="2028-10-01T00:00:00"/>
    </cacheField>
    <cacheField name="Valor de Repasse da Proposta" numFmtId="165">
      <sharedItems containsSemiMixedTypes="0" containsString="0" containsNumber="1" containsInteger="1" minValue="250000" maxValue="10000000"/>
    </cacheField>
    <cacheField name="Valor Global" numFmtId="165">
      <sharedItems containsSemiMixedTypes="0" containsString="0" containsNumber="1" minValue="263618.48" maxValue="10030000"/>
    </cacheField>
    <cacheField name="Valor do Empenho" numFmtId="165">
      <sharedItems containsString="0" containsBlank="1" containsNumber="1" containsInteger="1" minValue="370000" maxValue="10000000"/>
    </cacheField>
    <cacheField name="Repasse Financeiro Realizado?" numFmtId="0">
      <sharedItems/>
    </cacheField>
    <cacheField name="Valor Já Repassado (MTur)" numFmtId="165">
      <sharedItems containsString="0" containsBlank="1" containsNumber="1" containsInteger="1" minValue="500000" maxValue="2600000"/>
    </cacheField>
    <cacheField name="Saiu da Cláusula Suspensiva?" numFmtId="0">
      <sharedItems/>
    </cacheField>
    <cacheField name="Termo Aditivo Assinado?" numFmtId="0">
      <sharedItems/>
    </cacheField>
    <cacheField name="Motivo da Permanência na Cláusula Suspensiv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naldy Luiz Ferreira dos Santos" refreshedDate="46308.500451736109" refreshedVersion="8" recordCount="98" xr:uid="{00000000-000A-0000-FFFF-FFFF00000000}">
  <cacheSource type="worksheet">
    <worksheetSource ref="A2:T100" sheet="Convênios"/>
  </cacheSource>
  <cacheFields count="20">
    <cacheField name="Ano" numFmtId="0">
      <sharedItems containsString="0" containsBlank="1" containsNumber="1" containsInteger="1" minValue="2024" maxValue="2026" count="4">
        <n v="2024"/>
        <n v="2025"/>
        <n v="2026"/>
        <m/>
      </sharedItems>
    </cacheField>
    <cacheField name="Nome do proponente" numFmtId="0">
      <sharedItems containsBlank="1" count="33">
        <s v="Secretaria Estadual de Turismo do Rio Grande do Norte  (SETUR-RN)"/>
        <s v="Serviço Nacional de Aprendizagem Comercial do Rio Grande do Norte (SENAC-RN)"/>
        <s v="SERVICO DE APOIO AS MICRO E PEQUENAS EMPRESAS DE SE (SEBRAE)"/>
        <s v="SECRETARIA DE ESTADO DE TURISMO (SETUR-PA)"/>
        <s v="MUNICIPIO DE WENCESLAU GUIMARAES"/>
        <s v="MUNICIPIO DE PORANGATU"/>
        <s v="MUNICIPIO DE NATAL"/>
        <s v="MUNICÍPIO DO CONDE"/>
        <s v="MUNICIPIO DE TRAJANO DE MORAIS "/>
        <s v="MUNICIPIO DE CAPELA"/>
        <s v="SECRETARIA DO DESENVOLVIMENTO ECONOMICO -  Luzilândia/PI"/>
        <s v="ESTADO DO ACRE"/>
        <s v="MUNICÍPIO DE ITALVA"/>
        <s v="MUNICIPIO DE CAREIRO"/>
        <s v="MUNICIPIO DE TIBAU DO SUL"/>
        <s v="MUNICIPIO DE NILOPOLIS"/>
        <s v="MUNICIPIO DE CANINDE DE SAO FRANCISCO"/>
        <s v="MUNICIPIO DE SOBRAL"/>
        <s v="MUNICIPIO DE IAÇU"/>
        <s v="SECRETARIA DO DESENVOLVIMENTO ECONOMICO - Teresina/PI"/>
        <s v="Empresa Estadual de Turismo do Amazonas"/>
        <s v="SECRETARIA DO DESENVOLVIMENTO ECONOMICO - Parnaíba/PI"/>
        <s v="FUNDACAO WALL FERRAZ"/>
        <s v="SECRETARIA DE ESTADO DE ASSISTENCIA SOCIAL,TRABALHO,EMPREGO E RENDA (SEASTER-PA)"/>
        <s v="MUNICIPIO DE GUARAREMA - CGTURES"/>
        <s v="SERVICO NACIONAL DE APRENDIZAGEM COMERCIAL - SENAC - AR/RN"/>
        <s v="MUNICIPIO DE MARTINOPOLE"/>
        <s v="MUNICIPIO DE UMIRIM"/>
        <s v="SECRETARIA DE ESTADO DO TURISMO E DO DESENVOLVIMENTO ECONOMICO - Paraiba/PB"/>
        <s v="ESTADO DO MARANHÃO - SECRETARIA DE ESTADO DO DESENVOLVIMENTO SOCIAL "/>
        <s v="MUNICIPIO DE NISIA FLORESTA"/>
        <s v="MUNICÍPIO DE BAIA FORMOSA"/>
        <m/>
      </sharedItems>
    </cacheField>
    <cacheField name="UF do Proponente" numFmtId="0">
      <sharedItems containsBlank="1"/>
    </cacheField>
    <cacheField name="Instrumento" numFmtId="0">
      <sharedItems containsBlank="1" count="35">
        <s v="Convênio nº 970061/2024"/>
        <s v="Convênio nº 970093/2024"/>
        <s v="Convênio nº 970062/2024"/>
        <s v="Convênio nº 969365/2024"/>
        <s v="Convênio nº 982062/2025"/>
        <s v="Convênio nº 981938/2025"/>
        <s v="Convênio nº 988080/2025"/>
        <s v="Convênio nº 982177/2025"/>
        <s v="Convênio nº 981834/2025"/>
        <s v="Convênio nº 981970/2025"/>
        <s v="Convênio nº 981840/2025"/>
        <s v="Convênio nº 984749/2025"/>
        <s v="Convênio nº 982182/2025"/>
        <s v="Convênio nº 982173/2025"/>
        <s v="Convênio nº 981972/2025"/>
        <s v="Convênio nº 982154/2025"/>
        <s v="Convênio nº 981733/2025"/>
        <s v="Convênio nº 982143/2025"/>
        <s v="Convênio nº 982074/2025"/>
        <s v="Convênio nº 982032/2025"/>
        <s v="Convênio nº 981837/2025"/>
        <s v="Convênio nº 982176/2025"/>
        <s v="Convênio nº 981882/2025"/>
        <s v="Convênio nº 981838/2025"/>
        <s v="Convênio nº 981951/2025"/>
        <s v="Convênio nº 981933/2025"/>
        <s v="Convênio nº 982171/2025"/>
        <s v="Convênio nº 978164/2025"/>
        <s v="Convênio nº 994695/2026"/>
        <s v="Convênio nº 994697/2026"/>
        <s v="Convênio nº 994933/2026"/>
        <s v="Convênio nº 7AABQQ/2026"/>
        <s v="Convênio nº 7AAAMY/2026"/>
        <s v="Convênio nº 7AADYR/2026"/>
        <m/>
      </sharedItems>
    </cacheField>
    <cacheField name="Número da Proposta" numFmtId="0">
      <sharedItems containsBlank="1"/>
    </cacheField>
    <cacheField name="Número do processo SEI" numFmtId="0">
      <sharedItems containsBlank="1"/>
    </cacheField>
    <cacheField name="Objeto" numFmtId="0">
      <sharedItems containsBlank="1"/>
    </cacheField>
    <cacheField name="Modalidade" numFmtId="0">
      <sharedItems containsBlank="1"/>
    </cacheField>
    <cacheField name="Código do Programa" numFmtId="0">
      <sharedItems containsString="0" containsBlank="1" containsNumber="1" containsInteger="1" minValue="5400020240008" maxValue="5400020260018"/>
    </cacheField>
    <cacheField name="Parlamentar Solicitante" numFmtId="0">
      <sharedItems containsBlank="1"/>
    </cacheField>
    <cacheField name="Data Início de Vigência" numFmtId="0">
      <sharedItems containsNonDate="0" containsDate="1" containsString="0" containsBlank="1" minDate="2024-12-13T00:00:00" maxDate="2026-12-11T00:00:00"/>
    </cacheField>
    <cacheField name="Data Término de Vigência Atual" numFmtId="0">
      <sharedItems containsNonDate="0" containsDate="1" containsString="0" containsBlank="1" minDate="2026-12-30T00:00:00" maxDate="2029-01-01T00:00:00"/>
    </cacheField>
    <cacheField name="Valor de Repasse da Proposta" numFmtId="0">
      <sharedItems containsString="0" containsBlank="1" containsNumber="1" containsInteger="1" minValue="250000" maxValue="10000000"/>
    </cacheField>
    <cacheField name="Valor Global" numFmtId="0">
      <sharedItems containsString="0" containsBlank="1" containsNumber="1" minValue="251000" maxValue="10030000"/>
    </cacheField>
    <cacheField name="Valor do Empenho" numFmtId="0">
      <sharedItems containsString="0" containsBlank="1" containsNumber="1" containsInteger="1" minValue="370000" maxValue="10000000"/>
    </cacheField>
    <cacheField name="Repasse Financeiro Realizado?" numFmtId="0">
      <sharedItems containsBlank="1"/>
    </cacheField>
    <cacheField name="Valor Já Repassado (MTur)" numFmtId="0">
      <sharedItems containsString="0" containsBlank="1" containsNumber="1" containsInteger="1" minValue="500000" maxValue="2600000"/>
    </cacheField>
    <cacheField name="Saiu da Cláusula Suspensiva?" numFmtId="0">
      <sharedItems containsBlank="1"/>
    </cacheField>
    <cacheField name="Termo Aditivo Assinado?" numFmtId="0">
      <sharedItems containsBlank="1"/>
    </cacheField>
    <cacheField name="Motivo da Permanência na Cláusula Suspensiva" numFmtId="0">
      <sharedItems containsBlank="1" count="16">
        <m/>
        <s v="Foi Assinado mas ALDO pediu para segurar o cadastro do TA"/>
        <s v="NÃO FEZ O ENVIO DA PLANILHA E NEM DO TR ATUALIZADO"/>
        <s v="THIAGO ESTÁ ANALISANDO "/>
        <s v="TIAGO MENDES ESTÁ ANALISANDO"/>
        <s v="FALTA CGFC PUBLICAR O TA"/>
        <s v="FALTA O PROPONENTE AJUSTAR O PT"/>
        <s v="FALTA CADASTRAR O TA"/>
        <s v="TA PUBLICADO "/>
        <s v="AGUARDANDO AJUSTES NO TGOV PELO PROPONENTE"/>
        <s v="AJUSTES AUTORIZADOS, AGUARDANDO PROPONENTE REALIZAR"/>
        <s v="CGUTRES TA FAZENDO O TERMO  ADITIVO"/>
        <s v="Falta contrapartida e processo licitatório "/>
        <s v="Não apresentaram o processo licitatório"/>
        <s v="Apresentarem documentos na aba anexos"/>
        <s v="Enviado para analis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x v="0"/>
    <s v="PI"/>
    <s v=" TED nº  987841/2025"/>
    <s v="72031.009540/2025-69"/>
    <s v="RP8"/>
    <s v="Julio Arcoverde"/>
    <d v="2025-12-04T00:00:00"/>
    <d v="2027-06-05T00:00:00"/>
    <n v="5000000"/>
    <n v="5000000"/>
    <s v="SIM"/>
    <n v="5000000"/>
    <s v="Em execução"/>
    <m/>
  </r>
  <r>
    <n v="2025"/>
    <x v="1"/>
    <s v="PI"/>
    <s v=" TED nº 990795/2025"/>
    <s v="72031.011729/2025-11"/>
    <s v="RP8"/>
    <s v="Julio Arcoverde"/>
    <d v="2025-12-31T00:00:00"/>
    <d v="2027-01-12T00:00:00"/>
    <n v="5000000"/>
    <n v="5000000"/>
    <s v="SIM"/>
    <n v="5000000"/>
    <s v="Em execução"/>
    <m/>
  </r>
  <r>
    <n v="2025"/>
    <x v="2"/>
    <s v="PI"/>
    <s v=" TED nº 985434/2025"/>
    <s v="72031.003454/2025-42"/>
    <s v="RP8"/>
    <s v="Julio Arcoverde"/>
    <d v="2025-11-04T00:00:00"/>
    <d v="2027-04-30T00:00:00"/>
    <n v="4002240"/>
    <n v="4002240"/>
    <s v="SIM"/>
    <n v="3500000"/>
    <s v="Em execução"/>
    <s v="Saldo de R$ 502.240,00 aguardando indicação de recurso"/>
  </r>
  <r>
    <n v="2025"/>
    <x v="3"/>
    <s v="MA"/>
    <s v=" TED nº 988799/2025"/>
    <s v="72031.009969/2025-56"/>
    <s v="RP8"/>
    <s v="Julio Arcoverde"/>
    <d v="2025-12-12T00:00:00"/>
    <d v="2026-12-12T00:00:00"/>
    <n v="12500000"/>
    <n v="12500000"/>
    <s v="SIM"/>
    <n v="12500000"/>
    <s v="Em execução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s v="RN"/>
    <x v="0"/>
    <s v="035534/2024"/>
    <s v="72031.009417/2024-67"/>
    <s v="Promover formação profissional, oportunizando o desenvolvimento do turismo local, a sustentabilidade turística, impulsionando o crescimento econômico e sustentável, do turismo e da cultura, do estado do Rio Grande do Norte."/>
    <s v="RP6"/>
    <x v="0"/>
    <s v="Rogério Marinho"/>
    <d v="2024-12-31T00:00:00"/>
    <d v="2026-10-22T00:00:00"/>
    <n v="300000"/>
    <n v="300000"/>
    <n v="300000"/>
    <s v="SIM"/>
    <n v="300000"/>
    <s v="SIM"/>
    <s v="NÃO"/>
    <x v="0"/>
  </r>
  <r>
    <x v="1"/>
    <x v="1"/>
    <s v="DF"/>
    <x v="1"/>
    <s v="065987/2025"/>
    <s v="72031.011036/2025-29"/>
    <s v="Realização do projeto Qualifica Turismo"/>
    <s v="RP8"/>
    <x v="1"/>
    <s v="Doutor Luizinho"/>
    <d v="2025-12-31T00:00:00"/>
    <d v="2027-05-31T00:00:00"/>
    <n v="5000000"/>
    <n v="5000000"/>
    <n v="5000000"/>
    <s v="SIM"/>
    <n v="5000000"/>
    <s v="SIM"/>
    <s v="SIM"/>
    <x v="1"/>
  </r>
  <r>
    <x v="1"/>
    <x v="2"/>
    <s v="MA"/>
    <x v="2"/>
    <s v="065935/2025"/>
    <s v="72031.011033/2025-95"/>
    <s v="Realização de Cursos de Qualificação voltados a prestadores de serviços turísticos."/>
    <s v="RP8"/>
    <x v="1"/>
    <s v="Pedro Lucas Fernandes"/>
    <d v="2025-12-31T00:00:00"/>
    <d v="2027-05-04T00:00:00"/>
    <n v="330000"/>
    <n v="330000"/>
    <n v="330000"/>
    <s v="SIM"/>
    <n v="330000"/>
    <s v="SIM"/>
    <s v="SIM"/>
    <x v="1"/>
  </r>
  <r>
    <x v="1"/>
    <x v="3"/>
    <s v="RJ"/>
    <x v="3"/>
    <s v="065398/2025"/>
    <s v="72031.010787/2025-28"/>
    <s v="Implementação do Projeto Rio Destino 360 no Estado do Rio de Janeiro."/>
    <s v="RP8"/>
    <x v="1"/>
    <s v="Otoni de Paula"/>
    <d v="2025-12-31T00:00:00"/>
    <d v="2027-01-05T00:00:00"/>
    <n v="4000000"/>
    <n v="4000000"/>
    <n v="4000000"/>
    <s v="SIM"/>
    <n v="4000000"/>
    <s v="SIM"/>
    <s v="SIM"/>
    <x v="1"/>
  </r>
  <r>
    <x v="1"/>
    <x v="4"/>
    <s v="MA"/>
    <x v="4"/>
    <s v="057787/2025"/>
    <s v="72031.008882/2025-61"/>
    <s v="Realização de Cursos de Qualificação Profissional voltados a prestadores de serviços dos setores turísticos do Estado do Maranhão."/>
    <s v="RP8"/>
    <x v="1"/>
    <s v="Pedro Lucas Fernandes"/>
    <d v="2025-12-30T00:00:00"/>
    <d v="2027-05-04T00:00:00"/>
    <n v="500000"/>
    <n v="500000"/>
    <n v="500000"/>
    <s v="SIM"/>
    <n v="500000"/>
    <s v="SIM"/>
    <s v="SIM"/>
    <x v="1"/>
  </r>
  <r>
    <x v="1"/>
    <x v="5"/>
    <s v="CE"/>
    <x v="5"/>
    <s v="048761/2025"/>
    <s v="72031.007746/2025-54"/>
    <s v="Realizar a qualificação para os profissionais da área de turismo de eventos"/>
    <s v="RP8"/>
    <x v="1"/>
    <s v="Dayany Bittencourt"/>
    <d v="2025-12-31T00:00:00"/>
    <d v="2027-04-05T00:00:00"/>
    <n v="450000"/>
    <n v="450000"/>
    <n v="450000"/>
    <s v="NÃO"/>
    <m/>
    <s v="SIM"/>
    <s v="SIM"/>
    <x v="1"/>
  </r>
  <r>
    <x v="1"/>
    <x v="6"/>
    <s v="RJ"/>
    <x v="6"/>
    <s v="047523/2025"/>
    <s v="72031.007747/2025-07"/>
    <s v="Realização de cursos de qualificação profissional voltados a prestadores de serviços turísticos."/>
    <s v="RP8"/>
    <x v="1"/>
    <s v="Murillo Gouvea"/>
    <d v="2025-12-30T00:00:00"/>
    <d v="2026-11-30T00:00:00"/>
    <n v="450000"/>
    <n v="450000"/>
    <n v="450000"/>
    <s v="SIM"/>
    <n v="450000"/>
    <s v="SIM"/>
    <s v="SIM"/>
    <x v="1"/>
  </r>
  <r>
    <x v="1"/>
    <x v="7"/>
    <s v="RJ"/>
    <x v="7"/>
    <s v="045968/2025"/>
    <s v="72031.007749/2025-98"/>
    <s v="Realização de cursos de qualificação profissional voltados a prestadores de serviços turísticos nos municípios de Guapimirim e Búzios – RJ."/>
    <s v="RP8"/>
    <x v="1"/>
    <s v="Juninho do Pneu"/>
    <d v="2025-12-30T00:00:00"/>
    <d v="2026-10-01T00:00:00"/>
    <n v="400000"/>
    <n v="400000"/>
    <n v="400000"/>
    <s v="SIM"/>
    <n v="400000"/>
    <s v="SIM"/>
    <s v="SIM"/>
    <x v="1"/>
  </r>
  <r>
    <x v="2"/>
    <x v="8"/>
    <s v="RJ"/>
    <x v="8"/>
    <s v="026743/2026"/>
    <s v="72031.007306/2026-88"/>
    <s v="Execução do projeto Turismo em Movimento: Capacitação para o Turismo Esportivo no Rio de Janeiro, destinado à capacitação gratuita de 450 pessoas, de ambos os sexos, com idade entre 18 e 45 anos, para atuação na cadeia do turismo esportivo, com foco na qu"/>
    <s v="RP8"/>
    <x v="2"/>
    <s v="DR. Flavio Campos Ferreira"/>
    <d v="2026-06-05T00:00:00"/>
    <d v="2027-06-04T00:00:00"/>
    <n v="2500000"/>
    <n v="2500000"/>
    <m/>
    <s v="NÃO"/>
    <m/>
    <s v="NÃO"/>
    <s v="NÃO"/>
    <x v="2"/>
  </r>
  <r>
    <x v="2"/>
    <x v="9"/>
    <s v="MG"/>
    <x v="9"/>
    <s v="027839/2026"/>
    <s v="72031.005809/2026-19"/>
    <s v="Realização de cursos de qualificação profissional voltados a prestadores de serviços turísticos."/>
    <s v="RP8"/>
    <x v="2"/>
    <s v="Zé Vitor"/>
    <d v="2026-07-19T00:00:00"/>
    <d v="2027-07-18T00:00:00"/>
    <n v="2500000"/>
    <n v="2500000"/>
    <n v="2500000"/>
    <s v="NÃO"/>
    <m/>
    <s v="NÃO"/>
    <s v="NÃO"/>
    <x v="3"/>
  </r>
  <r>
    <x v="2"/>
    <x v="10"/>
    <s v="RJ"/>
    <x v="10"/>
    <s v="011309/2026"/>
    <s v="72031.005102/2026-11"/>
    <s v="IMPLEMENTAÇÃO DE PROGRAMA DE QUALIFICAÇÃO PROFISSIONAL AOS PROFISSIONAIS DE ATENDIMENTO DO RIO DE JANEIRO"/>
    <s v="RP6"/>
    <x v="3"/>
    <s v="Marcelo Crivella"/>
    <d v="2026-06-01T00:00:00"/>
    <d v="2027-06-01T00:00:00"/>
    <n v="250000"/>
    <n v="250000"/>
    <n v="250000"/>
    <s v="NÃO"/>
    <m/>
    <s v="NÃO"/>
    <s v="NÃO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s v="RN"/>
    <s v="Termo de Fomento nº 971418/2024"/>
    <x v="0"/>
    <s v="72031.009417/2024-67"/>
    <s v="Promover formação profissional, oportunizando o desenvolvimento do turismo local, a sustentabilidade turística, impulsionando o crescimento econômico e sustentável, do turismo e da cultura, do estado do Rio Grande do Norte."/>
    <s v="RP6"/>
    <n v="5400020240014"/>
    <s v="Rogério Marinho"/>
    <d v="2024-12-31T00:00:00"/>
    <d v="2026-10-22T00:00:00"/>
    <n v="300000"/>
    <n v="300000"/>
    <n v="300000"/>
    <s v="SIM"/>
    <n v="300000"/>
    <s v="SIM"/>
    <s v="NÃO"/>
    <s v="NT E TA EM ANALISE ALDO"/>
  </r>
  <r>
    <x v="1"/>
    <x v="1"/>
    <s v="DF"/>
    <s v="Termo de Fomento nº 988679/2025"/>
    <x v="1"/>
    <s v="72031.011036/2025-29"/>
    <s v="Realização do projeto Qualifica Turismo"/>
    <s v="RP8"/>
    <n v="5400020250016"/>
    <s v="Doutor Luizinho"/>
    <d v="2025-12-31T00:00:00"/>
    <d v="2027-05-31T00:00:00"/>
    <n v="5000000"/>
    <n v="5000000"/>
    <n v="5000000"/>
    <s v="SIM"/>
    <n v="5000000"/>
    <s v="SIM"/>
    <s v="SIM"/>
    <m/>
  </r>
  <r>
    <x v="1"/>
    <x v="2"/>
    <s v="MA"/>
    <s v="Termo de Fomento nº 988537/2025"/>
    <x v="2"/>
    <s v="72031.011033/2025-95"/>
    <s v="Realização de Cursos de Qualificação voltados a prestadores de serviços turísticos."/>
    <s v="RP8"/>
    <n v="5400020250016"/>
    <s v="Pedro Lucas Fernandes"/>
    <d v="2025-12-31T00:00:00"/>
    <d v="2027-05-04T00:00:00"/>
    <n v="330000"/>
    <n v="330000"/>
    <n v="330000"/>
    <s v="SIM"/>
    <n v="330000"/>
    <s v="SIM"/>
    <s v="SIM"/>
    <m/>
  </r>
  <r>
    <x v="1"/>
    <x v="3"/>
    <s v="RJ"/>
    <s v="Termo de Fomento nº 987800/2025"/>
    <x v="3"/>
    <s v="72031.010787/2025-28"/>
    <s v="Implementação do Projeto Rio Destino 360 no Estado do Rio de Janeiro."/>
    <s v="RP8"/>
    <n v="5400020250016"/>
    <s v="Otoni de Paula"/>
    <d v="2025-12-31T00:00:00"/>
    <d v="2027-01-05T00:00:00"/>
    <n v="4000000"/>
    <n v="4000000"/>
    <n v="4000000"/>
    <s v="SIM"/>
    <n v="4000000"/>
    <s v="SIM"/>
    <s v="SIM"/>
    <m/>
  </r>
  <r>
    <x v="1"/>
    <x v="4"/>
    <s v="MA"/>
    <s v="Termo de Fomento nº 981884/2025"/>
    <x v="4"/>
    <s v="72031.008882/2025-61"/>
    <s v="Realização de Cursos de Qualificação Profissional voltados a prestadores de serviços dos setores turísticos do Estado do Maranhão."/>
    <s v="RP8"/>
    <n v="5400020250016"/>
    <s v="Pedro Lucas Fernandes"/>
    <d v="2025-12-30T00:00:00"/>
    <d v="2027-05-04T00:00:00"/>
    <n v="500000"/>
    <n v="500000"/>
    <n v="500000"/>
    <s v="SIM"/>
    <n v="500000"/>
    <s v="SIM"/>
    <s v="SIM"/>
    <m/>
  </r>
  <r>
    <x v="1"/>
    <x v="5"/>
    <s v="CE"/>
    <s v="Termo de Fomento nº 982190/2025"/>
    <x v="5"/>
    <s v="72031.007746/2025-54"/>
    <s v="Realizar a qualificação para os profissionais da área de turismo de eventos"/>
    <s v="RP8"/>
    <n v="5400020250016"/>
    <s v="Dayany Bittencourt"/>
    <d v="2025-12-31T00:00:00"/>
    <d v="2027-04-05T00:00:00"/>
    <n v="450000"/>
    <n v="450000"/>
    <n v="450000"/>
    <s v="NÃO"/>
    <m/>
    <s v="SIM"/>
    <s v="SIM"/>
    <m/>
  </r>
  <r>
    <x v="1"/>
    <x v="6"/>
    <s v="RJ"/>
    <s v="Termo de Fomento nº 981981/2025"/>
    <x v="6"/>
    <s v="72031.007747/2025-07"/>
    <s v="Realização de cursos de qualificação profissional voltados a prestadores de serviços turísticos."/>
    <s v="RP8"/>
    <n v="5400020250016"/>
    <s v="Murillo Gouvea"/>
    <d v="2025-12-30T00:00:00"/>
    <d v="2026-11-30T00:00:00"/>
    <n v="450000"/>
    <n v="450000"/>
    <n v="450000"/>
    <s v="SIM"/>
    <n v="450000"/>
    <s v="SIM"/>
    <s v="SIM"/>
    <m/>
  </r>
  <r>
    <x v="1"/>
    <x v="7"/>
    <s v="RJ"/>
    <s v="Termo de Fomento nº 982185/2025"/>
    <x v="7"/>
    <s v="72031.007749/2025-98"/>
    <s v="Realização de cursos de qualificação profissional voltados a prestadores de serviços turísticos nos municípios de Guapimirim e Búzios – RJ."/>
    <s v="RP8"/>
    <n v="5400020250016"/>
    <s v="Juninho do Pneu"/>
    <d v="2025-12-30T00:00:00"/>
    <d v="2026-10-01T00:00:00"/>
    <n v="400000"/>
    <n v="400000"/>
    <n v="400000"/>
    <s v="SIM"/>
    <n v="400000"/>
    <s v="SIM"/>
    <s v="SIM"/>
    <m/>
  </r>
  <r>
    <x v="2"/>
    <x v="8"/>
    <s v="RJ"/>
    <m/>
    <x v="8"/>
    <s v="72031.007306/2026-88"/>
    <s v="Execução do projeto Turismo em Movimento: Capacitação para o Turismo Esportivo no Rio de Janeiro, destinado à capacitação gratuita de 450 pessoas, de ambos os sexos, com idade entre 18 e 45 anos, para atuação na cadeia do turismo esportivo, com foco na qu"/>
    <s v="RP8"/>
    <n v="5400020260023"/>
    <s v="DR. Flavio Campos Ferreira"/>
    <d v="2026-06-05T00:00:00"/>
    <d v="2027-06-04T00:00:00"/>
    <n v="2500000"/>
    <n v="2500000"/>
    <m/>
    <s v="NÃO"/>
    <m/>
    <s v="NÃO"/>
    <s v="NÃO"/>
    <s v="IMPEDIMENTO TÉCNICO"/>
  </r>
  <r>
    <x v="2"/>
    <x v="9"/>
    <s v="MG"/>
    <s v="Termo de Fomento nº 7AAAJN/2026"/>
    <x v="9"/>
    <s v="72031.005809/2026-19"/>
    <s v="Realização de cursos de qualificação profissional voltados a prestadores de serviços turísticos."/>
    <s v="RP8"/>
    <n v="5400020260023"/>
    <s v="Zé Vitor"/>
    <d v="2026-07-19T00:00:00"/>
    <d v="2027-07-18T00:00:00"/>
    <n v="2500000"/>
    <n v="2500000"/>
    <n v="2500000"/>
    <s v="NÃO"/>
    <m/>
    <s v="NÃO"/>
    <s v="NÃO"/>
    <s v="pedi para ajustarem o atestado de capacidade tecnica "/>
  </r>
  <r>
    <x v="2"/>
    <x v="10"/>
    <s v="RJ"/>
    <s v="Termo de Fomento nº 999084/2026"/>
    <x v="10"/>
    <s v="72031.005102/2026-11"/>
    <s v="IMPLEMENTAÇÃO DE PROGRAMA DE QUALIFICAÇÃO PROFISSIONAL AOS PROFISSIONAIS DE ATENDIMENTO DO RIO DE JANEIRO"/>
    <s v="RP6"/>
    <n v="5400020260009"/>
    <s v="Marcelo Crivella"/>
    <d v="2026-06-01T00:00:00"/>
    <d v="2027-06-01T00:00:00"/>
    <n v="250000"/>
    <n v="250000"/>
    <n v="250000"/>
    <s v="NÃO"/>
    <m/>
    <s v="NÃO"/>
    <s v="NÃO"/>
    <s v="Em Complementação"/>
  </r>
  <r>
    <x v="2"/>
    <x v="11"/>
    <s v="RJ"/>
    <s v="Termo de Fomento nº 7AAEOA/2026"/>
    <x v="11"/>
    <s v="72031.007850/2026-20"/>
    <s v="Realização de cursos de qualificação profissional voltados a prestadores de serviços turísticos."/>
    <s v="RP6"/>
    <n v="5400020260009"/>
    <s v="Murillo Gouvea"/>
    <d v="2026-12-01T00:00:00"/>
    <d v="2027-09-30T00:00:00"/>
    <n v="500000"/>
    <n v="500000"/>
    <m/>
    <s v="NÃO"/>
    <m/>
    <s v="NÃO"/>
    <s v="NÃO"/>
    <s v="Enviado para analise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x v="0"/>
    <x v="0"/>
    <s v="RN"/>
    <x v="0"/>
    <s v="005283/2024"/>
    <s v="72031.002432/2024-84"/>
    <s v="Qualificação e Capacitação para profissionais que atuam ou pretendem atuar na área de turismo nos municípios de Currais Novos, Cerro Corá, Lagoa Nova, Carnaúba dos Dantas e Parelhas, Felipe Guerra, Portalegre e Patu, localizados na região do Seridó, IGR R"/>
    <s v="RP6"/>
    <x v="0"/>
    <s v="Fernando Mineiro"/>
    <d v="2024-12-13T00:00:00"/>
    <d v="2027-06-13T00:00:00"/>
    <n v="500000"/>
    <n v="546039.72"/>
    <n v="500000"/>
    <s v="SIM"/>
    <n v="500000"/>
    <s v="SIM"/>
    <s v="SIM"/>
    <m/>
  </r>
  <r>
    <x v="0"/>
    <x v="1"/>
    <s v="RN"/>
    <x v="1"/>
    <s v="006142/2024"/>
    <s v="72031.002426/2024-27"/>
    <s v="Desenvolvimento do turismo no interior do Rio Grande do Norte, oportunizando a sustentabilidade turística, impulsionando o crescimento econômico, inclusivo e sustentável, do turismo e da cultura, por meio de ações de consultoria e qualificação para formaç"/>
    <s v="RP6"/>
    <x v="0"/>
    <s v="Rogério Marinho"/>
    <d v="2024-12-23T00:00:00"/>
    <d v="2026-12-31T00:00:00"/>
    <n v="1000000"/>
    <n v="1000000"/>
    <n v="1000000"/>
    <s v="SIM"/>
    <n v="1000000"/>
    <s v="SIM"/>
    <s v="SIM"/>
    <m/>
  </r>
  <r>
    <x v="0"/>
    <x v="2"/>
    <s v="SE"/>
    <x v="2"/>
    <s v="001673/2024"/>
    <s v="72031.002433/2024-29"/>
    <s v="Implementação de ações de qualificação destinados à realização de estudos, capacitações e eventos voltados para os trabalhadores do setor do turismo, microempreendedores individuais, microempresas, produtores locais associados ao turismo, artesãos e gesto"/>
    <s v="RP6"/>
    <x v="0"/>
    <s v="Yandra Moura"/>
    <d v="2024-12-18T00:00:00"/>
    <d v="2027-12-18T00:00:00"/>
    <n v="1000000"/>
    <n v="1050000"/>
    <n v="1000000"/>
    <s v="SIM"/>
    <n v="1000000"/>
    <s v="SIM"/>
    <s v="SIM"/>
    <m/>
  </r>
  <r>
    <x v="0"/>
    <x v="3"/>
    <s v="PA"/>
    <x v="3"/>
    <s v="024089/2024"/>
    <s v="72031.007271/2023-34"/>
    <s v="Qualificar o maior número de prestadores de serviço do turismo nas cidades de Belém, Ananindeua, Marituba e Benevides. Planeja-se, também, acompanhar e monitorar a inserção das pessoas atendidas no mercado de trabalho do turismo, com vistas a garantir a i"/>
    <s v="RP2"/>
    <x v="1"/>
    <s v="MINISTRO"/>
    <d v="2024-12-31T00:00:00"/>
    <d v="2026-12-30T00:00:00"/>
    <n v="1000000"/>
    <n v="1020000"/>
    <n v="1000000"/>
    <s v="NÃO"/>
    <m/>
    <s v="SIM"/>
    <s v="SIM"/>
    <s v="Foi Assinado mas ALDO pediu para segurar o cadastro do TA"/>
  </r>
  <r>
    <x v="1"/>
    <x v="4"/>
    <s v="RN"/>
    <x v="4"/>
    <s v="044302/2025"/>
    <s v="72031.007745/2025-18"/>
    <s v="Implementação do Projeto Esporte Transformando Vidas, no Município de Wenceslau Guimarães-BA."/>
    <s v="RP8"/>
    <x v="2"/>
    <s v="Dal Barreto"/>
    <d v="2025-12-31T00:00:00"/>
    <d v="2027-04-30T00:00:00"/>
    <n v="450000"/>
    <n v="455000"/>
    <n v="450000"/>
    <s v="NÃO"/>
    <m/>
    <s v="NÃO"/>
    <s v="NÃO"/>
    <s v="NÃO FEZ O ENVIO DA PLANILHA E NEM DO TR ATUALIZADO"/>
  </r>
  <r>
    <x v="1"/>
    <x v="5"/>
    <s v="GO"/>
    <x v="5"/>
    <s v="045921/2025"/>
    <s v="72031.007744/2025-65"/>
    <s v="Realização de cursos e oficinas de qualificação profissional voltados a prestadores de serviços turísticos no município de Porangatu-Go."/>
    <s v="RP8"/>
    <x v="2"/>
    <s v="José Nelto"/>
    <d v="2025-12-19T00:00:00"/>
    <d v="2027-12-19T00:00:00"/>
    <n v="450000"/>
    <n v="455377.26"/>
    <n v="450000"/>
    <s v="NÃO"/>
    <m/>
    <s v="NÃO"/>
    <s v="NÃO"/>
    <s v="THIAGO ESTÁ ANALISANDO "/>
  </r>
  <r>
    <x v="1"/>
    <x v="6"/>
    <s v="RN"/>
    <x v="6"/>
    <s v="065869/2025"/>
    <s v="72031.010978/2025-90"/>
    <s v="Execução de ações de qualificação profissional no setor turistico de Natal, por meio de cursos e capacitações"/>
    <s v="RP8"/>
    <x v="2"/>
    <s v="Pedro Lucas Fernandes"/>
    <d v="2025-12-23T00:00:00"/>
    <d v="2027-12-23T00:00:00"/>
    <n v="2994000"/>
    <n v="3000000"/>
    <n v="2994000"/>
    <s v="NÃO"/>
    <m/>
    <s v="SIM"/>
    <s v="SIM"/>
    <m/>
  </r>
  <r>
    <x v="1"/>
    <x v="7"/>
    <s v="PB"/>
    <x v="7"/>
    <s v="058187/2025"/>
    <s v="72031.009014/2025-07"/>
    <s v="Realização de cursos de qualificação profissional voltados a prestadores de serviços turísticos."/>
    <s v="RP8"/>
    <x v="2"/>
    <s v="Cabo Gilberto Silva"/>
    <d v="2025-12-18T00:00:00"/>
    <d v="2027-12-18T00:00:00"/>
    <n v="990000"/>
    <n v="1000000"/>
    <n v="1000000"/>
    <s v="NÃO"/>
    <m/>
    <s v="SIM"/>
    <s v="SIM"/>
    <m/>
  </r>
  <r>
    <x v="1"/>
    <x v="8"/>
    <s v="RJ"/>
    <x v="8"/>
    <s v="046999/2025"/>
    <s v="72031.007737/2025-63"/>
    <s v="Realização de cursos de qualificação profissional voltados a prestadores de serviços turísticos."/>
    <s v="RP8"/>
    <x v="2"/>
    <s v="Dani Cunha"/>
    <d v="2025-12-22T00:00:00"/>
    <d v="2027-12-20T00:00:00"/>
    <n v="700000"/>
    <n v="707000"/>
    <n v="700000"/>
    <s v="NÃO"/>
    <m/>
    <s v="SIM"/>
    <s v="SIM"/>
    <m/>
  </r>
  <r>
    <x v="1"/>
    <x v="9"/>
    <s v="SE"/>
    <x v="9"/>
    <s v="053406/2025"/>
    <s v="72031.007719/2025-81"/>
    <s v="Realização de cursos de qualificação profissional voltados a prestadores de serviços turísticos, no município de Capela/SE."/>
    <s v="RP8"/>
    <x v="2"/>
    <s v="Pedro Lucas Fernandes/Dep Yandra"/>
    <d v="2025-12-17T00:00:00"/>
    <d v="2027-12-17T00:00:00"/>
    <n v="1300000"/>
    <n v="1301400"/>
    <n v="1300000"/>
    <s v="NÃO"/>
    <m/>
    <s v="NÃO"/>
    <s v="NÃO"/>
    <s v="TIAGO MENDES ESTÁ ANALISANDO"/>
  </r>
  <r>
    <x v="1"/>
    <x v="10"/>
    <s v="PI"/>
    <x v="10"/>
    <s v="055620/2025"/>
    <s v="72031.008914/2025-29"/>
    <s v="Realização de Cursos de Qualificação Profissional Voltados a Prestadores de Serviços Turísticos no Município de Luzilândia – PI."/>
    <s v="RP8"/>
    <x v="2"/>
    <s v="Florentino Neto"/>
    <d v="2025-12-19T00:00:00"/>
    <d v="2027-12-19T00:00:00"/>
    <n v="500000"/>
    <n v="505000"/>
    <n v="500000"/>
    <s v="NÃO"/>
    <m/>
    <s v="SIM"/>
    <s v="SIM"/>
    <s v="FALTA CGFC PUBLICAR O TA"/>
  </r>
  <r>
    <x v="1"/>
    <x v="11"/>
    <s v="AC"/>
    <x v="11"/>
    <s v="062060/2025"/>
    <s v="72031.009977/2025-01"/>
    <s v="Realização de cursos de qualificação profissional voltados aos prestadores de serviços turísticos, promovendo a melhoria da qualidade dos serviços, a valorização da cultura local, a geração de emprego e renda e o fortalecimento da competitividade do desti"/>
    <s v="RP8"/>
    <x v="2"/>
    <s v="Eduardo Velloso"/>
    <d v="2025-12-30T00:00:00"/>
    <d v="2027-12-31T00:00:00"/>
    <n v="500000"/>
    <n v="500500.5"/>
    <n v="500000"/>
    <s v="NÃO"/>
    <m/>
    <s v="SIM"/>
    <s v="SIM"/>
    <s v="FALTA O PROPONENTE AJUSTAR O PT"/>
  </r>
  <r>
    <x v="1"/>
    <x v="12"/>
    <s v="RJ"/>
    <x v="12"/>
    <s v="058330/2025"/>
    <s v="72031.009016/2025-98"/>
    <s v="Realização de cursos de qualificação profissional voltados aos prestadores de serviços turísticos no Município de Italva/RJ."/>
    <s v="RP8"/>
    <x v="2"/>
    <s v="Marcos Soares"/>
    <d v="2025-12-23T00:00:00"/>
    <d v="2027-12-23T00:00:00"/>
    <n v="1259150"/>
    <n v="1260750"/>
    <n v="1450000"/>
    <s v="NÃO"/>
    <m/>
    <s v="SIM"/>
    <s v="SIM"/>
    <m/>
  </r>
  <r>
    <x v="1"/>
    <x v="13"/>
    <s v="AM"/>
    <x v="13"/>
    <s v="046967/2025"/>
    <s v="72031.007739/2025-52"/>
    <s v="Realização de cursos de qualificação profissional voltados a prestadores de serviços turísticos do município de Careiro/AM."/>
    <s v="RP8"/>
    <x v="2"/>
    <s v="Pauderney Avelino"/>
    <d v="2025-12-30T00:00:00"/>
    <d v="2027-12-20T00:00:00"/>
    <n v="450000"/>
    <n v="452000"/>
    <n v="450000"/>
    <s v="NÃO"/>
    <m/>
    <s v="SIM"/>
    <s v="SIM"/>
    <s v="FALTA CADASTRAR O TA"/>
  </r>
  <r>
    <x v="1"/>
    <x v="14"/>
    <s v="RN"/>
    <x v="14"/>
    <s v="048276/2025"/>
    <s v="72031.007727/2025-28"/>
    <s v="PROMOVER A QUALIFICAÇÃO PROFISSIONAL NO MUNICÍPIO DE TIBAU DO SUL-RN"/>
    <s v="RP8"/>
    <x v="2"/>
    <s v="Benes Leocádio"/>
    <d v="2025-12-16T00:00:00"/>
    <d v="2027-12-16T00:00:00"/>
    <n v="400000"/>
    <n v="401000"/>
    <n v="400000"/>
    <s v="NÃO"/>
    <m/>
    <s v="SIM"/>
    <s v="SIM"/>
    <m/>
  </r>
  <r>
    <x v="1"/>
    <x v="15"/>
    <s v="RJ"/>
    <x v="15"/>
    <s v="048504/2025"/>
    <s v="72031.007723/2025-40"/>
    <s v="Promover a qualificação profissional da população de Nilópolis e adjacências, ampliando as oportunidades de inserção produtiva e contribuindo para o desenvolvimento sustentável do turismo na Região Turística Baixada Verde."/>
    <s v="RP8"/>
    <x v="2"/>
    <s v="Ricardo Abrão"/>
    <d v="2025-12-29T00:00:00"/>
    <d v="2027-04-30T00:00:00"/>
    <n v="800000"/>
    <n v="808000"/>
    <n v="800000"/>
    <s v="NÃO"/>
    <m/>
    <s v="NÃO"/>
    <s v="NÃO"/>
    <s v="TIAGO MENDES ESTÁ ANALISANDO"/>
  </r>
  <r>
    <x v="1"/>
    <x v="16"/>
    <s v="SE"/>
    <x v="16"/>
    <s v="048648/2025"/>
    <s v="72031.007722/2025-03"/>
    <s v="Realização de cursos de qualificação profissional voltados a prestadores de serviços turísticos, com foco em hospitalidade, atendimento, sustentabilidade e inclusão."/>
    <s v="RP8"/>
    <x v="2"/>
    <s v="Yandra Moura"/>
    <d v="2025-12-16T00:00:00"/>
    <d v="2027-12-16T00:00:00"/>
    <n v="450000"/>
    <n v="451000"/>
    <n v="450000"/>
    <s v="NÃO"/>
    <m/>
    <s v="SIM"/>
    <s v="SIM"/>
    <m/>
  </r>
  <r>
    <x v="1"/>
    <x v="17"/>
    <s v="CE"/>
    <x v="17"/>
    <s v="056109/2025"/>
    <s v="72031.008756/2025-15"/>
    <s v="Realizar cursos de qualificação profissional voltados a prestadores de serviços turísticos em Sobral - CE "/>
    <s v="RP8"/>
    <x v="2"/>
    <s v="Moses Rodrigues"/>
    <d v="2025-12-29T00:00:00"/>
    <d v="2027-05-03T00:00:00"/>
    <n v="1500000"/>
    <n v="1612903.23"/>
    <n v="1500000"/>
    <s v="NÃO"/>
    <m/>
    <s v="SIM"/>
    <s v="SIM"/>
    <m/>
  </r>
  <r>
    <x v="1"/>
    <x v="17"/>
    <s v="CE"/>
    <x v="18"/>
    <s v="047412/2025"/>
    <s v="72031.007733/2025-85"/>
    <s v="Realização de cursos de qualificação profissional voltados à cadeia produtiva do turismo de Sobral - CE."/>
    <s v="RP8"/>
    <x v="2"/>
    <s v="Moses Rodrigues"/>
    <d v="2025-12-19T00:00:00"/>
    <d v="2027-04-30T00:00:00"/>
    <n v="450000"/>
    <n v="451681.86"/>
    <n v="450000"/>
    <s v="NÃO"/>
    <m/>
    <s v="SIM"/>
    <s v="SIM"/>
    <s v="TA PUBLICADO "/>
  </r>
  <r>
    <x v="1"/>
    <x v="18"/>
    <s v="BA"/>
    <x v="19"/>
    <s v="048766/2025"/>
    <s v="72031.007721/2025-51"/>
    <s v="Realização de cursos de qualificação profissional voltados a prestadores de serviços turísticos."/>
    <s v="RP8"/>
    <x v="2"/>
    <s v="Dal Barreto"/>
    <d v="2025-12-16T00:00:00"/>
    <d v="2028-09-19T00:00:00"/>
    <n v="370000"/>
    <n v="379820"/>
    <n v="370000"/>
    <s v="NÃO"/>
    <m/>
    <s v="SIM"/>
    <s v="SIM"/>
    <s v="AGUARDANDO AJUSTES NO TGOV PELO PROPONENTE"/>
  </r>
  <r>
    <x v="1"/>
    <x v="19"/>
    <s v="PI"/>
    <x v="20"/>
    <s v="055573/2025"/>
    <s v="72031.008918/2025-15"/>
    <s v="Realização de Cursos de Qualificação Profissional Voltados a Prestadores de Serviços Turísticos no Município de Teresina – PI."/>
    <s v="RP8"/>
    <x v="2"/>
    <s v="Florentino Neto"/>
    <d v="2025-12-29T00:00:00"/>
    <d v="2027-12-20T00:00:00"/>
    <n v="500000"/>
    <n v="505000"/>
    <n v="500000"/>
    <s v="NÃO"/>
    <m/>
    <s v="SIM"/>
    <s v="SIM"/>
    <m/>
  </r>
  <r>
    <x v="1"/>
    <x v="3"/>
    <s v="PA"/>
    <x v="21"/>
    <s v="046938/2025"/>
    <s v="72031.007587/2025-98"/>
    <s v="Realização de cursos de qualificação profissional para prestadores de serviços turísticos no Estado do Pará."/>
    <s v="RP8"/>
    <x v="2"/>
    <s v="Pedro Lucas Fernandes"/>
    <d v="2025-12-29T00:00:00"/>
    <d v="2027-04-06T00:00:00"/>
    <n v="2600000"/>
    <n v="2630400"/>
    <n v="2600000"/>
    <s v="SIM"/>
    <n v="2600000"/>
    <s v="SIM"/>
    <s v="SIM"/>
    <m/>
  </r>
  <r>
    <x v="1"/>
    <x v="20"/>
    <s v="AM"/>
    <x v="22"/>
    <s v="048072/2025"/>
    <s v="72031.007729/2025-17"/>
    <s v="Realização de cursos de qualificação profissional voltados a gestores públicos, trabalhadores e gestores do setor turístico."/>
    <s v="RP8"/>
    <x v="2"/>
    <s v="Fausto Santos Jr."/>
    <d v="2025-12-16T00:00:00"/>
    <d v="2027-04-27T00:00:00"/>
    <n v="450000"/>
    <n v="450500"/>
    <n v="450000"/>
    <s v="NÃO"/>
    <m/>
    <s v="SIM"/>
    <s v="SIM"/>
    <m/>
  </r>
  <r>
    <x v="1"/>
    <x v="21"/>
    <s v="PI"/>
    <x v="23"/>
    <s v="055597/2025"/>
    <s v="72031.008917/2025-62"/>
    <s v="Realização de Cursos de Qualificação Profissional Voltados a Prestadores de Serviços Turísticos no Município de Parnaíba – PI."/>
    <s v="RP8"/>
    <x v="2"/>
    <s v="Florentino Neto"/>
    <d v="2025-12-30T00:00:00"/>
    <d v="2027-04-30T00:00:00"/>
    <n v="500000"/>
    <n v="505000"/>
    <n v="500000"/>
    <s v="NÃO"/>
    <m/>
    <s v="SIM"/>
    <s v="SIM"/>
    <m/>
  </r>
  <r>
    <x v="1"/>
    <x v="22"/>
    <s v="PI"/>
    <x v="24"/>
    <s v="058243/2025"/>
    <s v="72031.008951/2025-37"/>
    <s v="Teresina Cidade Verde: qualificar e capacitar para conectar e fortalecer as rotas turísticas"/>
    <s v="RP8"/>
    <x v="2"/>
    <s v="Julio Arcoverde"/>
    <d v="2025-12-24T00:00:00"/>
    <d v="2027-12-24T00:00:00"/>
    <n v="10000000"/>
    <n v="10030000"/>
    <n v="10000000"/>
    <s v="NÃO"/>
    <m/>
    <s v="SIM"/>
    <s v="SIM"/>
    <m/>
  </r>
  <r>
    <x v="1"/>
    <x v="23"/>
    <s v="PA"/>
    <x v="25"/>
    <s v="48483/2025"/>
    <s v="72031.007724/2025-94"/>
    <s v="Realização de cursos de qualificação profissional voltados a prestadores de serviços turísticos."/>
    <s v="RP8"/>
    <x v="2"/>
    <s v="Dilvanda Faro"/>
    <d v="2025-12-17T00:00:00"/>
    <d v="2027-12-17T00:00:00"/>
    <n v="1500000"/>
    <n v="1502000"/>
    <n v="1500000"/>
    <s v="SIM"/>
    <n v="1500000"/>
    <s v="SIM"/>
    <s v="SIM"/>
    <s v="AJUSTES AUTORIZADOS, AGUARDANDO PROPONENTE REALIZAR"/>
  </r>
  <r>
    <x v="1"/>
    <x v="24"/>
    <s v=" SP"/>
    <x v="26"/>
    <s v="047176/2025"/>
    <s v="72031.007735/2025-74"/>
    <s v="Elaboração de Projeto Piloto de Adaptação do Turismo às Mudanças Climáticas em Guararema-SP."/>
    <s v="RP8"/>
    <x v="2"/>
    <s v="Deputado Federal David Soares"/>
    <d v="2025-12-24T00:00:00"/>
    <d v="2028-09-30T00:00:00"/>
    <n v="1700000"/>
    <n v="1734000"/>
    <n v="1700000"/>
    <s v="NÃO"/>
    <m/>
    <s v="NÃO"/>
    <s v="NÃO"/>
    <s v="CGUTRES TA FAZENDO O TERMO  ADITIVO"/>
  </r>
  <r>
    <x v="1"/>
    <x v="25"/>
    <s v="RN"/>
    <x v="27"/>
    <s v="026461/2025"/>
    <s v="72031.004919/2025-82"/>
    <s v="Desenvolvimento do turismo no interior do Rio Grande do Norte, oportunizando a sustentabilidade turística, impulsionando o crescimento econômico, inclusivo e sustentável, do turismo e da cultura, por meio de ações qualificação para formação do trade turís"/>
    <s v="RP6"/>
    <x v="3"/>
    <s v="Rogério Marinho"/>
    <d v="2025-11-01T00:00:00"/>
    <d v="2027-11-30T00:00:00"/>
    <n v="500000"/>
    <n v="500000"/>
    <n v="500000"/>
    <s v="SIM"/>
    <n v="500000"/>
    <s v="SIM"/>
    <s v="SIM"/>
    <m/>
  </r>
  <r>
    <x v="2"/>
    <x v="26"/>
    <s v="CE"/>
    <x v="28"/>
    <s v="016094/2026"/>
    <s v="72031.003111/2026-69"/>
    <s v="Realização de cursos de qualificação profissional voltados a cadeia produtiva do turismo de Martinópole"/>
    <s v="RP2"/>
    <x v="4"/>
    <s v="MINISTRO"/>
    <d v="2026-07-03T00:00:00"/>
    <d v="2027-07-03T00:00:00"/>
    <n v="500000"/>
    <n v="505000"/>
    <n v="500000"/>
    <s v="NÃO"/>
    <m/>
    <s v="EM EXECUÇÃO"/>
    <s v="EM EXECUÇÃO"/>
    <s v="Falta contrapartida e processo licitatório "/>
  </r>
  <r>
    <x v="2"/>
    <x v="27"/>
    <s v="CE"/>
    <x v="29"/>
    <s v="016277/2026"/>
    <s v="72031.003167/2026-13"/>
    <s v="Realização de cursos de qualificação profissional voltados a prestadores de serviços turísticos."/>
    <s v="RP2"/>
    <x v="4"/>
    <s v="MINISTRO"/>
    <d v="2026-07-03T00:00:00"/>
    <d v="2027-07-03T00:00:00"/>
    <n v="500000"/>
    <n v="505000"/>
    <n v="500000"/>
    <s v="NÃO"/>
    <m/>
    <s v="EM EXECUÇÃO"/>
    <s v="EM EXECUÇÃO"/>
    <s v="Falta contrapartida e processo licitatório "/>
  </r>
  <r>
    <x v="2"/>
    <x v="28"/>
    <s v="PB"/>
    <x v="30"/>
    <s v="016757/2026"/>
    <s v="72031.003282/2026-98"/>
    <s v="Qualificação profissional e fortalecimento da gestão empresarial no setor turístico do Estado da Paraíba, por meio da execução descentralizada de cursos, oficinas, formações técnicas e consultorias, em parceria com o Instituto Federal da Paraíba (IFPB), o"/>
    <s v="RP2"/>
    <x v="4"/>
    <s v="MINISTRO"/>
    <d v="2026-06-15T00:00:00"/>
    <d v="2027-06-15T00:00:00"/>
    <n v="1000000"/>
    <n v="1010000"/>
    <n v="1000000"/>
    <s v="NÃO"/>
    <m/>
    <s v="EM EXECUÇÃO"/>
    <s v="EM EXECUÇÃO"/>
    <s v="Não apresentaram o processo licitatório"/>
  </r>
  <r>
    <x v="2"/>
    <x v="29"/>
    <s v="MA"/>
    <x v="31"/>
    <s v="029175/2026"/>
    <s v="72031.006356/2026-48"/>
    <s v="Promover a qualificação profissional, a inclusão produtiva e a empregabilidade de beneficiários do Programa Maranhão Livre da Fome, pessoas inscritas no Cadastro Único para Programas Sociais do Governo Federal (CadÚnico), trabalhadores e empreendedores da"/>
    <s v="RP2"/>
    <x v="4"/>
    <s v="MINISTRO"/>
    <d v="2026-12-10T00:00:00"/>
    <d v="2027-12-10T00:00:00"/>
    <n v="1000000"/>
    <n v="1010000"/>
    <n v="1000000"/>
    <s v="NÃO"/>
    <m/>
    <s v="EM COMPLEMENTAÇÃO"/>
    <s v="EM COMPLEMENTAÇÃO"/>
    <s v="Apresentarem documentos na aba anexos"/>
  </r>
  <r>
    <x v="2"/>
    <x v="25"/>
    <s v="RN"/>
    <x v="32"/>
    <s v="010275/2026"/>
    <s v="72031.004566/2026-00"/>
    <s v="Realizar cursos de qualificação profissional voltados a prestadores de serviços turísticos e a comunidade, oportunizando o desenvolvimento do turismo local, a sustentabilidade turística, impulsionando o crescimento econômico, inclusivo e sustentável, do t"/>
    <s v="RP6"/>
    <x v="5"/>
    <s v="Rogério Marinho"/>
    <d v="2026-12-01T00:00:00"/>
    <d v="2027-11-30T00:00:00"/>
    <n v="500000"/>
    <n v="525000"/>
    <n v="500000"/>
    <s v="NÃO"/>
    <m/>
    <s v="EM COMPLEMENTAÇÃO"/>
    <s v="EM COMPLEMENTAÇÃO"/>
    <m/>
  </r>
  <r>
    <x v="2"/>
    <x v="30"/>
    <s v="RN"/>
    <x v="33"/>
    <s v="026609/2026"/>
    <s v="72031.007272/2026-21"/>
    <s v="Capacitação e Qualificação para o setor de Turismo em Nísia Floresta/RN"/>
    <s v="RP2"/>
    <x v="4"/>
    <s v="MINISTRO"/>
    <d v="2026-08-03T00:00:00"/>
    <d v="2028-08-30T00:00:00"/>
    <n v="250000"/>
    <n v="263618.48"/>
    <m/>
    <s v="NÃO"/>
    <m/>
    <s v="EM COMPLEMENTAÇÃO"/>
    <s v="EM COMPLEMENTAÇÃO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x v="0"/>
    <x v="0"/>
    <s v="RN"/>
    <x v="0"/>
    <s v="005283/2024"/>
    <s v="72031.002432/2024-84"/>
    <s v="Qualificação e Capacitação para profissionais que atuam ou pretendem atuar na área de turismo nos municípios de Currais Novos, Cerro Corá, Lagoa Nova, Carnaúba dos Dantas e Parelhas, Felipe Guerra, Portalegre e Patu, localizados na região do Seridó, IGR R"/>
    <s v="RP6"/>
    <n v="5400020240008"/>
    <s v="Fernando Mineiro"/>
    <d v="2024-12-13T00:00:00"/>
    <d v="2027-06-13T00:00:00"/>
    <n v="500000"/>
    <n v="546039.72"/>
    <n v="500000"/>
    <s v="SIM"/>
    <n v="500000"/>
    <s v="SIM"/>
    <s v="SIM"/>
    <x v="0"/>
  </r>
  <r>
    <x v="0"/>
    <x v="1"/>
    <s v="RN"/>
    <x v="1"/>
    <s v="006142/2024"/>
    <s v="72031.002426/2024-27"/>
    <s v="Desenvolvimento do turismo no interior do Rio Grande do Norte, oportunizando a sustentabilidade turística, impulsionando o crescimento econômico, inclusivo e sustentável, do turismo e da cultura, por meio de ações de consultoria e qualificação para formaç"/>
    <s v="RP6"/>
    <n v="5400020240008"/>
    <s v="Rogério Marinho"/>
    <d v="2024-12-23T00:00:00"/>
    <d v="2026-12-31T00:00:00"/>
    <n v="1000000"/>
    <n v="1000000"/>
    <n v="1000000"/>
    <s v="SIM"/>
    <n v="1000000"/>
    <s v="SIM"/>
    <s v="SIM"/>
    <x v="0"/>
  </r>
  <r>
    <x v="0"/>
    <x v="2"/>
    <s v="SE"/>
    <x v="2"/>
    <s v="001673/2024"/>
    <s v="72031.002433/2024-29"/>
    <s v="Implementação de ações de qualificação destinados à realização de estudos, capacitações e eventos voltados para os trabalhadores do setor do turismo, microempreendedores individuais, microempresas, produtores locais associados ao turismo, artesãos e gesto"/>
    <s v="RP6"/>
    <n v="5400020240008"/>
    <s v="Yandra Moura"/>
    <d v="2024-12-18T00:00:00"/>
    <d v="2027-12-18T00:00:00"/>
    <n v="1000000"/>
    <n v="1050000"/>
    <n v="1000000"/>
    <s v="SIM"/>
    <n v="1000000"/>
    <s v="SIM"/>
    <s v="SIM"/>
    <x v="0"/>
  </r>
  <r>
    <x v="0"/>
    <x v="3"/>
    <s v="PA"/>
    <x v="3"/>
    <s v="024089/2024"/>
    <s v="72031.007271/2023-34"/>
    <s v="Qualificar o maior número de prestadores de serviço do turismo nas cidades de Belém, Ananindeua, Marituba e Benevides. Planeja-se, também, acompanhar e monitorar a inserção das pessoas atendidas no mercado de trabalho do turismo, com vistas a garantir a i"/>
    <s v="RP2"/>
    <n v="5400020240012"/>
    <s v="MINISTRO"/>
    <d v="2024-12-31T00:00:00"/>
    <d v="2026-12-30T00:00:00"/>
    <n v="1000000"/>
    <n v="1020000"/>
    <n v="1000000"/>
    <s v="NÃO"/>
    <m/>
    <s v="SIM"/>
    <s v="SIM"/>
    <x v="1"/>
  </r>
  <r>
    <x v="1"/>
    <x v="4"/>
    <s v="RN"/>
    <x v="4"/>
    <s v="044302/2025"/>
    <s v="72031.007745/2025-18"/>
    <s v="Implementação do Projeto Esporte Transformando Vidas, no Município de Wenceslau Guimarães-BA."/>
    <s v="RP8"/>
    <n v="5400020250017"/>
    <s v="Dal Barreto"/>
    <d v="2025-12-31T00:00:00"/>
    <d v="2027-04-30T00:00:00"/>
    <n v="450000"/>
    <n v="455000"/>
    <n v="450000"/>
    <s v="NÃO"/>
    <m/>
    <s v="NÃO"/>
    <s v="NÃO"/>
    <x v="2"/>
  </r>
  <r>
    <x v="1"/>
    <x v="5"/>
    <s v="GO"/>
    <x v="5"/>
    <s v="045921/2025"/>
    <s v="72031.007744/2025-65"/>
    <s v="Realização de cursos e oficinas de qualificação profissional voltados a prestadores de serviços turísticos no município de Porangatu-Go."/>
    <s v="RP8"/>
    <n v="5400020250017"/>
    <s v="José Nelto"/>
    <d v="2025-12-19T00:00:00"/>
    <d v="2027-12-19T00:00:00"/>
    <n v="450000"/>
    <n v="455377.26"/>
    <n v="450000"/>
    <s v="NÃO"/>
    <m/>
    <s v="NÃO"/>
    <s v="NÃO"/>
    <x v="3"/>
  </r>
  <r>
    <x v="1"/>
    <x v="6"/>
    <s v="RN"/>
    <x v="6"/>
    <s v="065869/2025"/>
    <s v="72031.010978/2025-90"/>
    <s v="Execução de ações de qualificação profissional no setor turistico de Natal, por meio de cursos e capacitações"/>
    <s v="RP8"/>
    <n v="5400020250017"/>
    <s v="Pedro Lucas Fernandes"/>
    <d v="2025-12-23T00:00:00"/>
    <d v="2027-12-23T00:00:00"/>
    <n v="2994000"/>
    <n v="3000000"/>
    <n v="2994000"/>
    <s v="NÃO"/>
    <m/>
    <s v="SIM"/>
    <s v="SIM"/>
    <x v="0"/>
  </r>
  <r>
    <x v="1"/>
    <x v="7"/>
    <s v="PB"/>
    <x v="7"/>
    <s v="058187/2025"/>
    <s v="72031.009014/2025-07"/>
    <s v="Realização de cursos de qualificação profissional voltados a prestadores de serviços turísticos."/>
    <s v="RP8"/>
    <n v="5400020250017"/>
    <s v="Cabo Gilberto Silva"/>
    <d v="2025-12-18T00:00:00"/>
    <d v="2027-12-18T00:00:00"/>
    <n v="990000"/>
    <n v="1000000"/>
    <n v="1000000"/>
    <s v="NÃO"/>
    <m/>
    <s v="SIM"/>
    <s v="SIM"/>
    <x v="0"/>
  </r>
  <r>
    <x v="1"/>
    <x v="8"/>
    <s v="RJ"/>
    <x v="8"/>
    <s v="046999/2025"/>
    <s v="72031.007737/2025-63"/>
    <s v="Realização de cursos de qualificação profissional voltados a prestadores de serviços turísticos."/>
    <s v="RP8"/>
    <n v="5400020250017"/>
    <s v="Dani Cunha"/>
    <d v="2025-12-22T00:00:00"/>
    <d v="2027-12-20T00:00:00"/>
    <n v="700000"/>
    <n v="707000"/>
    <n v="700000"/>
    <s v="NÃO"/>
    <m/>
    <s v="SIM"/>
    <s v="SIM"/>
    <x v="0"/>
  </r>
  <r>
    <x v="1"/>
    <x v="9"/>
    <s v="SE"/>
    <x v="9"/>
    <s v="053406/2025"/>
    <s v="72031.007719/2025-81"/>
    <s v="Realização de cursos de qualificação profissional voltados a prestadores de serviços turísticos, no município de Capela/SE."/>
    <s v="RP8"/>
    <n v="5400020250017"/>
    <s v="Pedro Lucas Fernandes/Dep Yandra"/>
    <d v="2025-12-17T00:00:00"/>
    <d v="2027-12-17T00:00:00"/>
    <n v="1300000"/>
    <n v="1301400"/>
    <n v="1300000"/>
    <s v="NÃO"/>
    <m/>
    <s v="NÃO"/>
    <s v="NÃO"/>
    <x v="4"/>
  </r>
  <r>
    <x v="1"/>
    <x v="10"/>
    <s v="PI"/>
    <x v="10"/>
    <s v="055620/2025"/>
    <s v="72031.008914/2025-29"/>
    <s v="Realização de Cursos de Qualificação Profissional Voltados a Prestadores de Serviços Turísticos no Município de Luzilândia – PI."/>
    <s v="RP8"/>
    <n v="5400020250017"/>
    <s v="Florentino Neto"/>
    <d v="2025-12-19T00:00:00"/>
    <d v="2027-12-19T00:00:00"/>
    <n v="500000"/>
    <n v="505000"/>
    <n v="500000"/>
    <s v="NÃO"/>
    <m/>
    <s v="SIM"/>
    <s v="SIM"/>
    <x v="5"/>
  </r>
  <r>
    <x v="1"/>
    <x v="11"/>
    <s v="AC"/>
    <x v="11"/>
    <s v="062060/2025"/>
    <s v="72031.009977/2025-01"/>
    <s v="Realização de cursos de qualificação profissional voltados aos prestadores de serviços turísticos, promovendo a melhoria da qualidade dos serviços, a valorização da cultura local, a geração de emprego e renda e o fortalecimento da competitividade do desti"/>
    <s v="RP8"/>
    <n v="5400020250017"/>
    <s v="Eduardo Velloso"/>
    <d v="2025-12-30T00:00:00"/>
    <d v="2027-12-31T00:00:00"/>
    <n v="500000"/>
    <n v="500500.5"/>
    <n v="500000"/>
    <s v="NÃO"/>
    <m/>
    <s v="SIM"/>
    <s v="SIM"/>
    <x v="6"/>
  </r>
  <r>
    <x v="1"/>
    <x v="12"/>
    <s v="RJ"/>
    <x v="12"/>
    <s v="058330/2025"/>
    <s v="72031.009016/2025-98"/>
    <s v="Realização de cursos de qualificação profissional voltados aos prestadores de serviços turísticos no Município de Italva/RJ."/>
    <s v="RP8"/>
    <n v="5400020250017"/>
    <s v="Marcos Soares"/>
    <d v="2025-12-23T00:00:00"/>
    <d v="2027-12-23T00:00:00"/>
    <n v="1259150"/>
    <n v="1260750"/>
    <n v="1450000"/>
    <s v="NÃO"/>
    <m/>
    <s v="SIM"/>
    <s v="SIM"/>
    <x v="0"/>
  </r>
  <r>
    <x v="1"/>
    <x v="13"/>
    <s v="AM"/>
    <x v="13"/>
    <s v="046967/2025"/>
    <s v="72031.007739/2025-52"/>
    <s v="Realização de cursos de qualificação profissional voltados a prestadores de serviços turísticos do município de Careiro/AM."/>
    <s v="RP8"/>
    <n v="5400020250017"/>
    <s v="Pauderney Avelino"/>
    <d v="2025-12-30T00:00:00"/>
    <d v="2027-12-20T00:00:00"/>
    <n v="450000"/>
    <n v="452000"/>
    <n v="450000"/>
    <s v="NÃO"/>
    <m/>
    <s v="SIM"/>
    <s v="SIM"/>
    <x v="7"/>
  </r>
  <r>
    <x v="1"/>
    <x v="14"/>
    <s v="RN"/>
    <x v="14"/>
    <s v="048276/2025"/>
    <s v="72031.007727/2025-28"/>
    <s v="PROMOVER A QUALIFICAÇÃO PROFISSIONAL NO MUNICÍPIO DE TIBAU DO SUL-RN"/>
    <s v="RP8"/>
    <n v="5400020250017"/>
    <s v="Benes Leocádio"/>
    <d v="2025-12-16T00:00:00"/>
    <d v="2027-12-16T00:00:00"/>
    <n v="400000"/>
    <n v="401000"/>
    <n v="400000"/>
    <s v="NÃO"/>
    <m/>
    <s v="SIM"/>
    <s v="SIM"/>
    <x v="0"/>
  </r>
  <r>
    <x v="1"/>
    <x v="15"/>
    <s v="RJ"/>
    <x v="15"/>
    <s v="048504/2025"/>
    <s v="72031.007723/2025-40"/>
    <s v="Promover a qualificação profissional da população de Nilópolis e adjacências, ampliando as oportunidades de inserção produtiva e contribuindo para o desenvolvimento sustentável do turismo na Região Turística Baixada Verde."/>
    <s v="RP8"/>
    <n v="5400020250017"/>
    <s v="Ricardo Abrão"/>
    <d v="2025-12-29T00:00:00"/>
    <d v="2027-04-30T00:00:00"/>
    <n v="800000"/>
    <n v="808000"/>
    <n v="800000"/>
    <s v="NÃO"/>
    <m/>
    <s v="NÃO"/>
    <s v="NÃO"/>
    <x v="4"/>
  </r>
  <r>
    <x v="1"/>
    <x v="16"/>
    <s v="SE"/>
    <x v="16"/>
    <s v="048648/2025"/>
    <s v="72031.007722/2025-03"/>
    <s v="Realização de cursos de qualificação profissional voltados a prestadores de serviços turísticos, com foco em hospitalidade, atendimento, sustentabilidade e inclusão."/>
    <s v="RP8"/>
    <n v="5400020250017"/>
    <s v="Yandra Moura"/>
    <d v="2025-12-16T00:00:00"/>
    <d v="2027-12-16T00:00:00"/>
    <n v="450000"/>
    <n v="451000"/>
    <n v="450000"/>
    <s v="NÃO"/>
    <m/>
    <s v="SIM"/>
    <s v="SIM"/>
    <x v="0"/>
  </r>
  <r>
    <x v="1"/>
    <x v="17"/>
    <s v="CE"/>
    <x v="17"/>
    <s v="056109/2025"/>
    <s v="72031.008756/2025-15"/>
    <s v="Realizar cursos de qualificação profissional voltados a prestadores de serviços turísticos em Sobral - CE "/>
    <s v="RP8"/>
    <n v="5400020250017"/>
    <s v="Moses Rodrigues"/>
    <d v="2025-12-29T00:00:00"/>
    <d v="2027-05-03T00:00:00"/>
    <n v="1500000"/>
    <n v="1612903.23"/>
    <n v="1500000"/>
    <s v="NÃO"/>
    <m/>
    <s v="SIM"/>
    <s v="SIM"/>
    <x v="0"/>
  </r>
  <r>
    <x v="1"/>
    <x v="17"/>
    <s v="CE"/>
    <x v="18"/>
    <s v="047412/2025"/>
    <s v="72031.007733/2025-85"/>
    <s v="Realização de cursos de qualificação profissional voltados à cadeia produtiva do turismo de Sobral - CE."/>
    <s v="RP8"/>
    <n v="5400020250017"/>
    <s v="Moses Rodrigues"/>
    <d v="2025-12-19T00:00:00"/>
    <d v="2027-04-30T00:00:00"/>
    <n v="450000"/>
    <n v="451681.86"/>
    <n v="450000"/>
    <s v="NÃO"/>
    <m/>
    <s v="SIM"/>
    <s v="SIM"/>
    <x v="8"/>
  </r>
  <r>
    <x v="1"/>
    <x v="18"/>
    <s v="BA"/>
    <x v="19"/>
    <s v="048766/2025"/>
    <s v="72031.007721/2025-51"/>
    <s v="Realização de cursos de qualificação profissional voltados a prestadores de serviços turísticos."/>
    <s v="RP8"/>
    <n v="5400020250017"/>
    <s v="Dal Barreto"/>
    <d v="2025-12-16T00:00:00"/>
    <d v="2028-09-19T00:00:00"/>
    <n v="370000"/>
    <n v="379820"/>
    <n v="370000"/>
    <s v="NÃO"/>
    <m/>
    <s v="SIM"/>
    <s v="SIM"/>
    <x v="9"/>
  </r>
  <r>
    <x v="1"/>
    <x v="19"/>
    <s v="PI"/>
    <x v="20"/>
    <s v="055573/2025"/>
    <s v="72031.008918/2025-15"/>
    <s v="Realização de Cursos de Qualificação Profissional Voltados a Prestadores de Serviços Turísticos no Município de Teresina – PI."/>
    <s v="RP8"/>
    <n v="5400020250017"/>
    <s v="Florentino Neto"/>
    <d v="2025-12-29T00:00:00"/>
    <d v="2027-12-20T00:00:00"/>
    <n v="500000"/>
    <n v="505000"/>
    <n v="500000"/>
    <s v="NÃO"/>
    <m/>
    <s v="SIM"/>
    <s v="SIM"/>
    <x v="0"/>
  </r>
  <r>
    <x v="1"/>
    <x v="3"/>
    <s v="PA"/>
    <x v="21"/>
    <s v="046938/2025"/>
    <s v="72031.007587/2025-98"/>
    <s v="Realização de cursos de qualificação profissional para prestadores de serviços turísticos no Estado do Pará."/>
    <s v="RP8"/>
    <n v="5400020250017"/>
    <s v="Pedro Lucas Fernandes"/>
    <d v="2025-12-29T00:00:00"/>
    <d v="2027-04-06T00:00:00"/>
    <n v="2600000"/>
    <n v="2630400"/>
    <n v="2600000"/>
    <s v="SIM"/>
    <n v="2600000"/>
    <s v="SIM"/>
    <s v="SIM"/>
    <x v="0"/>
  </r>
  <r>
    <x v="1"/>
    <x v="20"/>
    <s v="AM"/>
    <x v="22"/>
    <s v="048072/2025"/>
    <s v="72031.007729/2025-17"/>
    <s v="Realização de cursos de qualificação profissional voltados a gestores públicos, trabalhadores e gestores do setor turístico."/>
    <s v="RP8"/>
    <n v="5400020250017"/>
    <s v="Fausto Santos Jr."/>
    <d v="2025-12-16T00:00:00"/>
    <d v="2027-04-27T00:00:00"/>
    <n v="450000"/>
    <n v="450500"/>
    <n v="450000"/>
    <s v="NÃO"/>
    <m/>
    <s v="SIM"/>
    <s v="SIM"/>
    <x v="0"/>
  </r>
  <r>
    <x v="1"/>
    <x v="21"/>
    <s v="PI"/>
    <x v="23"/>
    <s v="055597/2025"/>
    <s v="72031.008917/2025-62"/>
    <s v="Realização de Cursos de Qualificação Profissional Voltados a Prestadores de Serviços Turísticos no Município de Parnaíba – PI."/>
    <s v="RP8"/>
    <n v="5400020250017"/>
    <s v="Florentino Neto"/>
    <d v="2025-12-30T00:00:00"/>
    <d v="2027-04-30T00:00:00"/>
    <n v="500000"/>
    <n v="505000"/>
    <n v="500000"/>
    <s v="NÃO"/>
    <m/>
    <s v="SIM"/>
    <s v="SIM"/>
    <x v="0"/>
  </r>
  <r>
    <x v="1"/>
    <x v="22"/>
    <s v="PI"/>
    <x v="24"/>
    <s v="058243/2025"/>
    <s v="72031.008951/2025-37"/>
    <s v="Teresina Cidade Verde: qualificar e capacitar para conectar e fortalecer as rotas turísticas"/>
    <s v="RP8"/>
    <n v="5400020250017"/>
    <s v="Julio Arcoverde"/>
    <d v="2025-12-24T00:00:00"/>
    <d v="2027-12-24T00:00:00"/>
    <n v="10000000"/>
    <n v="10030000"/>
    <n v="10000000"/>
    <s v="NÃO"/>
    <m/>
    <s v="SIM"/>
    <s v="SIM"/>
    <x v="0"/>
  </r>
  <r>
    <x v="1"/>
    <x v="23"/>
    <s v="PA"/>
    <x v="25"/>
    <s v="48483/2025"/>
    <s v="72031.007724/2025-94"/>
    <s v="Realização de cursos de qualificação profissional voltados a prestadores de serviços turísticos."/>
    <s v="RP8"/>
    <n v="5400020250017"/>
    <s v="Dilvanda Faro"/>
    <d v="2025-12-17T00:00:00"/>
    <d v="2027-12-17T00:00:00"/>
    <n v="1500000"/>
    <n v="1502000"/>
    <n v="1500000"/>
    <s v="SIM"/>
    <n v="1500000"/>
    <s v="SIM"/>
    <s v="SIM"/>
    <x v="10"/>
  </r>
  <r>
    <x v="1"/>
    <x v="24"/>
    <s v=" SP"/>
    <x v="26"/>
    <s v="047176/2025"/>
    <s v="72031.007735/2025-74"/>
    <s v="Elaboração de Projeto Piloto de Adaptação do Turismo às Mudanças Climáticas em Guararema-SP."/>
    <s v="RP8"/>
    <n v="5400020250017"/>
    <s v="Deputado Federal David Soares"/>
    <d v="2025-12-24T00:00:00"/>
    <d v="2028-09-30T00:00:00"/>
    <n v="1700000"/>
    <n v="1734000"/>
    <n v="1700000"/>
    <s v="NÃO"/>
    <m/>
    <s v="NÃO"/>
    <s v="NÃO"/>
    <x v="11"/>
  </r>
  <r>
    <x v="1"/>
    <x v="25"/>
    <s v="RN"/>
    <x v="27"/>
    <s v="026461/2025"/>
    <s v="72031.004919/2025-82"/>
    <s v="Desenvolvimento do turismo no interior do Rio Grande do Norte, oportunizando a sustentabilidade turística, impulsionando o crescimento econômico, inclusivo e sustentável, do turismo e da cultura, por meio de ações qualificação para formação do trade turís"/>
    <s v="RP6"/>
    <n v="5400020250019"/>
    <s v="Rogério Marinho"/>
    <d v="2025-11-01T00:00:00"/>
    <d v="2027-11-30T00:00:00"/>
    <n v="500000"/>
    <n v="500000"/>
    <n v="500000"/>
    <s v="SIM"/>
    <n v="500000"/>
    <s v="SIM"/>
    <s v="SIM"/>
    <x v="0"/>
  </r>
  <r>
    <x v="2"/>
    <x v="26"/>
    <s v="CE"/>
    <x v="28"/>
    <s v="016094/2026"/>
    <s v="72031.003111/2026-69"/>
    <s v="Realização de cursos de qualificação profissional voltados a cadeia produtiva do turismo de Martinópole"/>
    <s v="RP2"/>
    <n v="5400020260018"/>
    <s v="MINISTRO"/>
    <d v="2026-07-03T00:00:00"/>
    <d v="2027-07-03T00:00:00"/>
    <n v="500000"/>
    <n v="505000"/>
    <n v="500000"/>
    <s v="NÃO"/>
    <m/>
    <s v="EM EXECUÇÃO"/>
    <s v="EM EXECUÇÃO"/>
    <x v="12"/>
  </r>
  <r>
    <x v="2"/>
    <x v="27"/>
    <s v="CE"/>
    <x v="29"/>
    <s v="016277/2026"/>
    <s v="72031.003167/2026-13"/>
    <s v="Realização de cursos de qualificação profissional voltados a prestadores de serviços turísticos."/>
    <s v="RP2"/>
    <n v="5400020260018"/>
    <s v="MINISTRO"/>
    <d v="2026-07-03T00:00:00"/>
    <d v="2027-07-03T00:00:00"/>
    <n v="500000"/>
    <n v="505000"/>
    <n v="500000"/>
    <s v="NÃO"/>
    <m/>
    <s v="EM EXECUÇÃO"/>
    <s v="EM EXECUÇÃO"/>
    <x v="12"/>
  </r>
  <r>
    <x v="2"/>
    <x v="28"/>
    <s v="PB"/>
    <x v="30"/>
    <s v="016757/2026"/>
    <s v="72031.003282/2026-98"/>
    <s v="Qualificação profissional e fortalecimento da gestão empresarial no setor turístico do Estado da Paraíba, por meio da execução descentralizada de cursos, oficinas, formações técnicas e consultorias, em parceria com o Instituto Federal da Paraíba (IFPB), o"/>
    <s v="RP2"/>
    <n v="5400020260018"/>
    <s v="MINISTRO"/>
    <d v="2026-06-15T00:00:00"/>
    <d v="2027-06-15T00:00:00"/>
    <n v="1000000"/>
    <n v="1010000"/>
    <n v="1000000"/>
    <s v="NÃO"/>
    <m/>
    <s v="EM EXECUÇÃO"/>
    <s v="EM EXECUÇÃO"/>
    <x v="13"/>
  </r>
  <r>
    <x v="2"/>
    <x v="29"/>
    <s v="MA"/>
    <x v="31"/>
    <s v="029175/2026"/>
    <s v="72031.006356/2026-48"/>
    <s v="Promover a qualificação profissional, a inclusão produtiva e a empregabilidade de beneficiários do Programa Maranhão Livre da Fome, pessoas inscritas no Cadastro Único para Programas Sociais do Governo Federal (CadÚnico), trabalhadores e empreendedores da"/>
    <s v="RP2"/>
    <n v="5400020260018"/>
    <s v="MINISTRO"/>
    <d v="2026-12-10T00:00:00"/>
    <d v="2027-12-10T00:00:00"/>
    <n v="1000000"/>
    <n v="1010000"/>
    <n v="1000000"/>
    <s v="NÃO"/>
    <m/>
    <s v="EM COMPLEMENTAÇÃO"/>
    <s v="EM COMPLEMENTAÇÃO"/>
    <x v="14"/>
  </r>
  <r>
    <x v="2"/>
    <x v="25"/>
    <s v="RN"/>
    <x v="32"/>
    <s v="010275/2026"/>
    <s v="72031.004566/2026-00"/>
    <s v="Realizar cursos de qualificação profissional voltados a prestadores de serviços turísticos e a comunidade, oportunizando o desenvolvimento do turismo local, a sustentabilidade turística, impulsionando o crescimento econômico, inclusivo e sustentável, do t"/>
    <s v="RP6"/>
    <n v="5400020260017"/>
    <s v="Rogério Marinho"/>
    <d v="2026-12-01T00:00:00"/>
    <d v="2027-11-30T00:00:00"/>
    <n v="500000"/>
    <n v="525000"/>
    <n v="500000"/>
    <s v="NÃO"/>
    <m/>
    <s v="EM COMPLEMENTAÇÃO"/>
    <s v="EM COMPLEMENTAÇÃO"/>
    <x v="0"/>
  </r>
  <r>
    <x v="2"/>
    <x v="30"/>
    <s v="RN"/>
    <x v="33"/>
    <s v="026609/2026"/>
    <s v="72031.007272/2026-21"/>
    <s v="Capacitação e Qualificação para o setor de Turismo em Nísia Floresta/RN"/>
    <s v="RP2"/>
    <n v="5400020260018"/>
    <s v="MINISTRO"/>
    <d v="2026-08-03T00:00:00"/>
    <d v="2028-08-30T00:00:00"/>
    <n v="250000"/>
    <n v="263618.48"/>
    <m/>
    <s v="NÃO"/>
    <m/>
    <s v="EM COMPLEMENTAÇÃO"/>
    <s v="EM COMPLEMENTAÇÃO"/>
    <x v="0"/>
  </r>
  <r>
    <x v="2"/>
    <x v="31"/>
    <s v="RN"/>
    <x v="34"/>
    <s v="034396/2026"/>
    <s v="72031.008655/2026-17"/>
    <m/>
    <s v="RP2"/>
    <n v="5400020260018"/>
    <s v="MINISTRO"/>
    <d v="2026-08-25T00:00:00"/>
    <d v="2028-12-31T00:00:00"/>
    <n v="250000"/>
    <n v="251000"/>
    <m/>
    <s v="NÃO"/>
    <m/>
    <s v="NÃO CADASTRADO"/>
    <s v="NÃO CADASTRADO"/>
    <x v="15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  <r>
    <x v="3"/>
    <x v="32"/>
    <m/>
    <x v="34"/>
    <m/>
    <m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Resumo de Convênios 4" cacheId="989" applyNumberFormats="0" applyBorderFormats="0" applyFontFormats="0" applyPatternFormats="0" applyAlignmentFormats="0" applyWidthHeightFormats="0" dataCaption="" updatedVersion="8" rowGrandTotals="0" compact="0" compactData="0">
  <location ref="V1:Y31" firstHeaderRow="1" firstDataRow="1" firstDataCol="4"/>
  <pivotFields count="20">
    <pivotField name="Ano" axis="axisRow" compact="0" outline="0" multipleItemSelectionAllowed="1" showAll="0" sortType="ascending" defaultSubtotal="0">
      <items count="3">
        <item h="1" x="0"/>
        <item x="1"/>
        <item x="2"/>
      </items>
    </pivotField>
    <pivotField name="Nome do proponente" axis="axisRow" compact="0" outline="0" multipleItemSelectionAllowed="1" showAll="0" sortType="ascending">
      <items count="32">
        <item x="20"/>
        <item x="11"/>
        <item x="29"/>
        <item x="22"/>
        <item x="16"/>
        <item x="9"/>
        <item x="13"/>
        <item x="24"/>
        <item x="18"/>
        <item x="12"/>
        <item x="26"/>
        <item x="6"/>
        <item x="15"/>
        <item x="30"/>
        <item x="5"/>
        <item x="17"/>
        <item x="14"/>
        <item x="8"/>
        <item x="27"/>
        <item x="4"/>
        <item x="7"/>
        <item x="23"/>
        <item x="3"/>
        <item x="28"/>
        <item x="10"/>
        <item x="21"/>
        <item x="19"/>
        <item x="0"/>
        <item x="2"/>
        <item x="25"/>
        <item x="1"/>
        <item t="default"/>
      </items>
    </pivotField>
    <pivotField name="UF do Proponente" compact="0" outline="0" multipleItemSelectionAllowed="1" showAll="0"/>
    <pivotField name="Instrumento" axis="axisRow" compact="0" outline="0" multipleItemSelectionAllowed="1" showAll="0" sortType="ascending" defaultSubtotal="0">
      <items count="34">
        <item x="32"/>
        <item x="31"/>
        <item x="33"/>
        <item x="3"/>
        <item x="2"/>
        <item x="27"/>
        <item x="16"/>
        <item x="8"/>
        <item x="20"/>
        <item x="23"/>
        <item x="10"/>
        <item x="22"/>
        <item x="25"/>
        <item x="5"/>
        <item x="24"/>
        <item x="9"/>
        <item x="14"/>
        <item x="19"/>
        <item x="4"/>
        <item x="17"/>
        <item x="15"/>
        <item x="26"/>
        <item x="13"/>
        <item x="21"/>
        <item x="7"/>
        <item x="12"/>
        <item x="11"/>
        <item x="6"/>
        <item x="28"/>
        <item x="29"/>
        <item x="30"/>
        <item x="0"/>
        <item x="1"/>
        <item x="18"/>
      </items>
    </pivotField>
    <pivotField name="Número da Proposta" compact="0" outline="0" multipleItemSelectionAllowed="1" showAll="0"/>
    <pivotField name="Número do processo SEI" compact="0" outline="0" multipleItemSelectionAllowed="1" showAll="0"/>
    <pivotField name="Objeto" compact="0" outline="0" multipleItemSelectionAllowed="1" showAll="0"/>
    <pivotField name="Modalidade" compact="0" outline="0" multipleItemSelectionAllowed="1" showAll="0"/>
    <pivotField name="Código do Programa" axis="axisRow" compact="0" outline="0" multipleItemSelectionAllowed="1" showAll="0" sortType="ascending" defaultSubtotal="0">
      <items count="6">
        <item x="0"/>
        <item x="1"/>
        <item x="2"/>
        <item x="3"/>
        <item x="5"/>
        <item x="4"/>
      </items>
    </pivotField>
    <pivotField name="Parlamentar Solicitante" compact="0" outline="0" multipleItemSelectionAllowed="1" showAll="0"/>
    <pivotField name="Data Início de Vigência" compact="0" numFmtId="164" outline="0" multipleItemSelectionAllowed="1" showAll="0"/>
    <pivotField name="Data Término de Vigência Atual" compact="0" numFmtId="14" outline="0" multipleItemSelectionAllowed="1" showAll="0"/>
    <pivotField name="Valor de Repasse da Proposta" compact="0" numFmtId="165" outline="0" multipleItemSelectionAllowed="1" showAll="0"/>
    <pivotField name="Valor Global" compact="0" numFmtId="165" outline="0" multipleItemSelectionAllowed="1" showAll="0"/>
    <pivotField name="Valor do Empenho" compact="0" numFmtId="165" outline="0" multipleItemSelectionAllowed="1" showAll="0"/>
    <pivotField name="Repasse Financeiro Realizado?" compact="0" outline="0" multipleItemSelectionAllowed="1" showAll="0"/>
    <pivotField name="Valor Já Repassado (MTur)" compact="0" numFmtId="165" outline="0" multipleItemSelectionAllowed="1" showAll="0"/>
    <pivotField name="Saiu da Cláusula Suspensiva?" compact="0" outline="0" multipleItemSelectionAllowed="1" showAll="0"/>
    <pivotField name="Termo Aditivo Assinado?" compact="0" outline="0" multipleItemSelectionAllowed="1" showAll="0"/>
    <pivotField name="Motivo da Permanência na Cláusula Suspensiva" compact="0" outline="0" multipleItemSelectionAllowed="1" showAll="0"/>
  </pivotFields>
  <rowFields count="4">
    <field x="0"/>
    <field x="8"/>
    <field x="3"/>
    <field x="1"/>
  </rowFields>
  <rowItems count="30">
    <i>
      <x v="1"/>
      <x v="2"/>
      <x v="6"/>
      <x v="4"/>
    </i>
    <i r="2">
      <x v="7"/>
      <x v="17"/>
    </i>
    <i r="2">
      <x v="8"/>
      <x v="26"/>
    </i>
    <i r="2">
      <x v="9"/>
      <x v="25"/>
    </i>
    <i r="2">
      <x v="10"/>
      <x v="24"/>
    </i>
    <i r="2">
      <x v="11"/>
      <x/>
    </i>
    <i r="2">
      <x v="12"/>
      <x v="21"/>
    </i>
    <i r="2">
      <x v="13"/>
      <x v="14"/>
    </i>
    <i r="2">
      <x v="14"/>
      <x v="3"/>
    </i>
    <i r="2">
      <x v="15"/>
      <x v="5"/>
    </i>
    <i r="2">
      <x v="16"/>
      <x v="16"/>
    </i>
    <i r="2">
      <x v="17"/>
      <x v="8"/>
    </i>
    <i r="2">
      <x v="18"/>
      <x v="19"/>
    </i>
    <i r="2">
      <x v="19"/>
      <x v="15"/>
    </i>
    <i r="2">
      <x v="20"/>
      <x v="12"/>
    </i>
    <i r="2">
      <x v="21"/>
      <x v="7"/>
    </i>
    <i r="2">
      <x v="22"/>
      <x v="6"/>
    </i>
    <i r="2">
      <x v="23"/>
      <x v="22"/>
    </i>
    <i r="2">
      <x v="24"/>
      <x v="20"/>
    </i>
    <i r="2">
      <x v="25"/>
      <x v="9"/>
    </i>
    <i r="2">
      <x v="26"/>
      <x v="1"/>
    </i>
    <i r="2">
      <x v="27"/>
      <x v="11"/>
    </i>
    <i r="2">
      <x v="33"/>
      <x v="15"/>
    </i>
    <i r="1">
      <x v="3"/>
      <x v="5"/>
      <x v="29"/>
    </i>
    <i>
      <x v="2"/>
      <x v="4"/>
      <x/>
      <x v="29"/>
    </i>
    <i r="1">
      <x v="5"/>
      <x v="1"/>
      <x v="2"/>
    </i>
    <i r="2">
      <x v="2"/>
      <x v="13"/>
    </i>
    <i r="2">
      <x v="28"/>
      <x v="10"/>
    </i>
    <i r="2">
      <x v="29"/>
      <x v="18"/>
    </i>
    <i r="2">
      <x v="30"/>
      <x v="23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Resumo de Convênios" cacheId="996" applyNumberFormats="0" applyBorderFormats="0" applyFontFormats="0" applyPatternFormats="0" applyAlignmentFormats="0" applyWidthHeightFormats="0" dataCaption="" updatedVersion="8" compact="0" compactData="0">
  <location ref="A1:G34" firstHeaderRow="1" firstDataRow="2" firstDataCol="3"/>
  <pivotFields count="20">
    <pivotField name="Ano" axis="axisRow" compact="0" outline="0" multipleItemSelectionAllowed="1" showAll="0" sortType="ascending" defaultSubtotal="0">
      <items count="4">
        <item h="1" x="0"/>
        <item x="1"/>
        <item x="2"/>
        <item h="1" x="3"/>
      </items>
    </pivotField>
    <pivotField name="Nome do proponente" axis="axisRow" compact="0" outline="0" multipleItemSelectionAllowed="1" showAll="0" sortType="ascending" defaultSubtotal="0">
      <items count="33">
        <item x="20"/>
        <item x="11"/>
        <item x="29"/>
        <item x="22"/>
        <item x="31"/>
        <item x="16"/>
        <item x="9"/>
        <item x="13"/>
        <item x="24"/>
        <item x="18"/>
        <item x="12"/>
        <item x="26"/>
        <item x="6"/>
        <item x="15"/>
        <item x="30"/>
        <item x="5"/>
        <item x="17"/>
        <item x="14"/>
        <item x="8"/>
        <item x="27"/>
        <item x="4"/>
        <item x="7"/>
        <item x="23"/>
        <item x="3"/>
        <item x="28"/>
        <item x="10"/>
        <item x="21"/>
        <item x="19"/>
        <item x="0"/>
        <item x="2"/>
        <item x="25"/>
        <item x="1"/>
        <item x="32"/>
      </items>
    </pivotField>
    <pivotField name="UF do Proponente" compact="0" outline="0" multipleItemSelectionAllowed="1" showAll="0"/>
    <pivotField name="Instrumento" axis="axisRow" compact="0" outline="0" multipleItemSelectionAllowed="1" showAll="0" sortType="ascending">
      <items count="36">
        <item x="32"/>
        <item x="31"/>
        <item x="33"/>
        <item x="3"/>
        <item x="2"/>
        <item x="27"/>
        <item x="16"/>
        <item x="8"/>
        <item x="20"/>
        <item x="23"/>
        <item x="10"/>
        <item x="22"/>
        <item x="25"/>
        <item x="5"/>
        <item x="24"/>
        <item x="9"/>
        <item x="14"/>
        <item x="19"/>
        <item x="4"/>
        <item x="17"/>
        <item x="15"/>
        <item x="26"/>
        <item x="13"/>
        <item x="21"/>
        <item x="7"/>
        <item x="12"/>
        <item x="11"/>
        <item x="6"/>
        <item x="28"/>
        <item x="29"/>
        <item x="30"/>
        <item x="0"/>
        <item x="1"/>
        <item x="18"/>
        <item x="34"/>
        <item t="default"/>
      </items>
    </pivotField>
    <pivotField name="Número da Proposta" compact="0" outline="0" multipleItemSelectionAllowed="1" showAll="0"/>
    <pivotField name="Número do processo SEI" compact="0" outline="0" multipleItemSelectionAllowed="1" showAll="0"/>
    <pivotField name="Objeto" compact="0" outline="0" multipleItemSelectionAllowed="1" showAll="0"/>
    <pivotField name="Modalidade" compact="0" outline="0" multipleItemSelectionAllowed="1" showAll="0"/>
    <pivotField name="Código do Programa" compact="0" outline="0" multipleItemSelectionAllowed="1" showAll="0"/>
    <pivotField name="Parlamentar Solicitante" compact="0" outline="0" multipleItemSelectionAllowed="1" showAll="0"/>
    <pivotField name="Data Início de Vigência" compact="0" numFmtId="164" outline="0" multipleItemSelectionAllowed="1" showAll="0"/>
    <pivotField name="Data Término de Vigência Atual" compact="0" numFmtId="14" outline="0" multipleItemSelectionAllowed="1" showAll="0"/>
    <pivotField name="Valor de Repasse da Proposta" dataField="1" compact="0" numFmtId="165" outline="0" multipleItemSelectionAllowed="1" showAll="0"/>
    <pivotField name="Valor Global" dataField="1" compact="0" numFmtId="165" outline="0" multipleItemSelectionAllowed="1" showAll="0"/>
    <pivotField name="Valor do Empenho" dataField="1" compact="0" numFmtId="165" outline="0" multipleItemSelectionAllowed="1" showAll="0"/>
    <pivotField name="Repasse Financeiro Realizado?" compact="0" outline="0" multipleItemSelectionAllowed="1" showAll="0"/>
    <pivotField name="Valor Já Repassado (MTur)" dataField="1" compact="0" numFmtId="165" outline="0" multipleItemSelectionAllowed="1" showAll="0"/>
    <pivotField name="Saiu da Cláusula Suspensiva?" compact="0" outline="0" multipleItemSelectionAllowed="1" showAll="0"/>
    <pivotField name="Termo Aditivo Assinado?" compact="0" outline="0" multipleItemSelectionAllowed="1" showAll="0"/>
    <pivotField name="Motivo da Permanência na Cláusula Suspensiva" compact="0" outline="0" multipleItemSelectionAllowed="1" showAll="0"/>
  </pivotFields>
  <rowFields count="3">
    <field x="0"/>
    <field x="1"/>
    <field x="3"/>
  </rowFields>
  <rowItems count="32">
    <i>
      <x v="1"/>
      <x/>
      <x v="11"/>
    </i>
    <i r="1">
      <x v="1"/>
      <x v="26"/>
    </i>
    <i r="1">
      <x v="3"/>
      <x v="14"/>
    </i>
    <i r="1">
      <x v="5"/>
      <x v="6"/>
    </i>
    <i r="1">
      <x v="6"/>
      <x v="15"/>
    </i>
    <i r="1">
      <x v="7"/>
      <x v="22"/>
    </i>
    <i r="1">
      <x v="8"/>
      <x v="21"/>
    </i>
    <i r="1">
      <x v="9"/>
      <x v="17"/>
    </i>
    <i r="1">
      <x v="10"/>
      <x v="25"/>
    </i>
    <i r="1">
      <x v="12"/>
      <x v="27"/>
    </i>
    <i r="1">
      <x v="13"/>
      <x v="20"/>
    </i>
    <i r="1">
      <x v="15"/>
      <x v="13"/>
    </i>
    <i r="1">
      <x v="16"/>
      <x v="19"/>
    </i>
    <i r="2">
      <x v="33"/>
    </i>
    <i r="1">
      <x v="17"/>
      <x v="16"/>
    </i>
    <i r="1">
      <x v="18"/>
      <x v="7"/>
    </i>
    <i r="1">
      <x v="20"/>
      <x v="18"/>
    </i>
    <i r="1">
      <x v="21"/>
      <x v="24"/>
    </i>
    <i r="1">
      <x v="22"/>
      <x v="12"/>
    </i>
    <i r="1">
      <x v="23"/>
      <x v="23"/>
    </i>
    <i r="1">
      <x v="25"/>
      <x v="10"/>
    </i>
    <i r="1">
      <x v="26"/>
      <x v="9"/>
    </i>
    <i r="1">
      <x v="27"/>
      <x v="8"/>
    </i>
    <i r="1">
      <x v="30"/>
      <x v="5"/>
    </i>
    <i>
      <x v="2"/>
      <x v="2"/>
      <x v="1"/>
    </i>
    <i r="1">
      <x v="4"/>
      <x v="34"/>
    </i>
    <i r="1">
      <x v="11"/>
      <x v="28"/>
    </i>
    <i r="1">
      <x v="14"/>
      <x v="2"/>
    </i>
    <i r="1">
      <x v="19"/>
      <x v="29"/>
    </i>
    <i r="1">
      <x v="24"/>
      <x v="30"/>
    </i>
    <i r="1">
      <x v="30"/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Valor Global" fld="13" baseField="0"/>
    <dataField name="Valor de Repasse da Proposta" fld="12" baseField="0"/>
    <dataField name="Valor do Empenho" fld="14" baseField="0"/>
    <dataField name="Valor Já Repassado (MTur)" fld="1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Resumo de Convênios 2" cacheId="996" applyNumberFormats="0" applyBorderFormats="0" applyFontFormats="0" applyPatternFormats="0" applyAlignmentFormats="0" applyWidthHeightFormats="0" dataCaption="" updatedVersion="8" rowGrandTotals="0" compact="0" compactData="0">
  <location ref="I1:L32" firstHeaderRow="1" firstDataRow="1" firstDataCol="4"/>
  <pivotFields count="20">
    <pivotField name="Ano" axis="axisRow" compact="0" outline="0" multipleItemSelectionAllowed="1" showAll="0" sortType="ascending" defaultSubtotal="0">
      <items count="4">
        <item h="1" x="0"/>
        <item x="1"/>
        <item x="2"/>
        <item h="1" x="3"/>
      </items>
    </pivotField>
    <pivotField name="Nome do proponente" axis="axisRow" compact="0" outline="0" multipleItemSelectionAllowed="1" showAll="0" sortType="ascending" defaultSubtotal="0">
      <items count="33">
        <item x="20"/>
        <item x="11"/>
        <item x="29"/>
        <item x="22"/>
        <item x="31"/>
        <item x="16"/>
        <item x="9"/>
        <item x="13"/>
        <item x="24"/>
        <item x="18"/>
        <item x="12"/>
        <item x="26"/>
        <item x="6"/>
        <item x="15"/>
        <item x="30"/>
        <item x="5"/>
        <item x="17"/>
        <item x="14"/>
        <item x="8"/>
        <item x="27"/>
        <item x="4"/>
        <item x="7"/>
        <item x="23"/>
        <item x="3"/>
        <item x="28"/>
        <item x="10"/>
        <item x="21"/>
        <item x="19"/>
        <item x="0"/>
        <item x="2"/>
        <item x="25"/>
        <item x="1"/>
        <item x="32"/>
      </items>
    </pivotField>
    <pivotField name="UF do Proponente" compact="0" outline="0" multipleItemSelectionAllowed="1" showAll="0"/>
    <pivotField name="Instrumento" axis="axisRow" compact="0" outline="0" multipleItemSelectionAllowed="1" showAll="0" sortType="ascending" defaultSubtotal="0">
      <items count="35">
        <item x="32"/>
        <item x="31"/>
        <item x="33"/>
        <item x="3"/>
        <item x="2"/>
        <item x="27"/>
        <item x="16"/>
        <item x="8"/>
        <item x="20"/>
        <item x="23"/>
        <item x="10"/>
        <item x="22"/>
        <item x="25"/>
        <item x="5"/>
        <item x="24"/>
        <item x="9"/>
        <item x="14"/>
        <item x="19"/>
        <item x="4"/>
        <item x="17"/>
        <item x="15"/>
        <item x="26"/>
        <item x="13"/>
        <item x="21"/>
        <item x="7"/>
        <item x="12"/>
        <item x="11"/>
        <item x="6"/>
        <item x="28"/>
        <item x="29"/>
        <item x="30"/>
        <item x="0"/>
        <item x="1"/>
        <item x="18"/>
        <item x="34"/>
      </items>
    </pivotField>
    <pivotField name="Número da Proposta" compact="0" outline="0" multipleItemSelectionAllowed="1" showAll="0"/>
    <pivotField name="Número do processo SEI" compact="0" outline="0" multipleItemSelectionAllowed="1" showAll="0"/>
    <pivotField name="Objeto" compact="0" outline="0" multipleItemSelectionAllowed="1" showAll="0"/>
    <pivotField name="Modalidade" compact="0" outline="0" multipleItemSelectionAllowed="1" showAll="0"/>
    <pivotField name="Código do Programa" compact="0" outline="0" multipleItemSelectionAllowed="1" showAll="0"/>
    <pivotField name="Parlamentar Solicitante" compact="0" outline="0" multipleItemSelectionAllowed="1" showAll="0"/>
    <pivotField name="Data Início de Vigência" compact="0" numFmtId="164" outline="0" multipleItemSelectionAllowed="1" showAll="0"/>
    <pivotField name="Data Término de Vigência Atual" compact="0" numFmtId="14" outline="0" multipleItemSelectionAllowed="1" showAll="0"/>
    <pivotField name="Valor de Repasse da Proposta" compact="0" numFmtId="165" outline="0" multipleItemSelectionAllowed="1" showAll="0"/>
    <pivotField name="Valor Global" compact="0" numFmtId="165" outline="0" multipleItemSelectionAllowed="1" showAll="0"/>
    <pivotField name="Valor do Empenho" compact="0" numFmtId="165" outline="0" multipleItemSelectionAllowed="1" showAll="0"/>
    <pivotField name="Repasse Financeiro Realizado?" compact="0" outline="0" multipleItemSelectionAllowed="1" showAll="0"/>
    <pivotField name="Valor Já Repassado (MTur)" compact="0" numFmtId="165" outline="0" multipleItemSelectionAllowed="1" showAll="0"/>
    <pivotField name="Saiu da Cláusula Suspensiva?" compact="0" outline="0" multipleItemSelectionAllowed="1" showAll="0"/>
    <pivotField name="Termo Aditivo Assinado?" compact="0" outline="0" multipleItemSelectionAllowed="1" showAll="0"/>
    <pivotField name="Motivo da Permanência na Cláusula Suspensiva" axis="axisRow" compact="0" outline="0" multipleItemSelectionAllowed="1" showAll="0" sortType="ascending">
      <items count="17">
        <item x="9"/>
        <item x="10"/>
        <item x="14"/>
        <item x="11"/>
        <item x="15"/>
        <item x="7"/>
        <item x="5"/>
        <item x="12"/>
        <item x="6"/>
        <item x="1"/>
        <item x="13"/>
        <item x="2"/>
        <item x="8"/>
        <item x="3"/>
        <item x="4"/>
        <item x="0"/>
        <item t="default"/>
      </items>
    </pivotField>
  </pivotFields>
  <rowFields count="4">
    <field x="0"/>
    <field x="1"/>
    <field x="3"/>
    <field x="19"/>
  </rowFields>
  <rowItems count="31">
    <i>
      <x v="1"/>
      <x/>
      <x v="11"/>
      <x v="15"/>
    </i>
    <i r="1">
      <x v="1"/>
      <x v="26"/>
      <x v="8"/>
    </i>
    <i r="1">
      <x v="3"/>
      <x v="14"/>
      <x v="15"/>
    </i>
    <i r="1">
      <x v="5"/>
      <x v="6"/>
      <x v="15"/>
    </i>
    <i r="1">
      <x v="6"/>
      <x v="15"/>
      <x v="14"/>
    </i>
    <i r="1">
      <x v="7"/>
      <x v="22"/>
      <x v="5"/>
    </i>
    <i r="1">
      <x v="8"/>
      <x v="21"/>
      <x v="3"/>
    </i>
    <i r="1">
      <x v="9"/>
      <x v="17"/>
      <x/>
    </i>
    <i r="1">
      <x v="10"/>
      <x v="25"/>
      <x v="15"/>
    </i>
    <i r="1">
      <x v="12"/>
      <x v="27"/>
      <x v="15"/>
    </i>
    <i r="1">
      <x v="13"/>
      <x v="20"/>
      <x v="14"/>
    </i>
    <i r="1">
      <x v="15"/>
      <x v="13"/>
      <x v="13"/>
    </i>
    <i r="1">
      <x v="16"/>
      <x v="19"/>
      <x v="15"/>
    </i>
    <i r="2">
      <x v="33"/>
      <x v="12"/>
    </i>
    <i r="1">
      <x v="17"/>
      <x v="16"/>
      <x v="15"/>
    </i>
    <i r="1">
      <x v="18"/>
      <x v="7"/>
      <x v="15"/>
    </i>
    <i r="1">
      <x v="20"/>
      <x v="18"/>
      <x v="11"/>
    </i>
    <i r="1">
      <x v="21"/>
      <x v="24"/>
      <x v="15"/>
    </i>
    <i r="1">
      <x v="22"/>
      <x v="12"/>
      <x v="1"/>
    </i>
    <i r="1">
      <x v="23"/>
      <x v="23"/>
      <x v="15"/>
    </i>
    <i r="1">
      <x v="25"/>
      <x v="10"/>
      <x v="6"/>
    </i>
    <i r="1">
      <x v="26"/>
      <x v="9"/>
      <x v="15"/>
    </i>
    <i r="1">
      <x v="27"/>
      <x v="8"/>
      <x v="15"/>
    </i>
    <i r="1">
      <x v="30"/>
      <x v="5"/>
      <x v="15"/>
    </i>
    <i>
      <x v="2"/>
      <x v="2"/>
      <x v="1"/>
      <x v="2"/>
    </i>
    <i r="1">
      <x v="4"/>
      <x v="34"/>
      <x v="4"/>
    </i>
    <i r="1">
      <x v="11"/>
      <x v="28"/>
      <x v="7"/>
    </i>
    <i r="1">
      <x v="14"/>
      <x v="2"/>
      <x v="15"/>
    </i>
    <i r="1">
      <x v="19"/>
      <x v="29"/>
      <x v="7"/>
    </i>
    <i r="1">
      <x v="24"/>
      <x v="30"/>
      <x v="10"/>
    </i>
    <i r="1">
      <x v="30"/>
      <x/>
      <x v="15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Resumo de Convênios 3" cacheId="996" applyNumberFormats="0" applyBorderFormats="0" applyFontFormats="0" applyPatternFormats="0" applyAlignmentFormats="0" applyWidthHeightFormats="0" dataCaption="" updatedVersion="8" rowGrandTotals="0" compact="0" compactData="0">
  <location ref="O1:S37" firstHeaderRow="1" firstDataRow="2" firstDataCol="3"/>
  <pivotFields count="20">
    <pivotField name="Ano" axis="axisRow" compact="0" outline="0" multipleItemSelectionAllowed="1" showAll="0" sortType="ascending" defaultSubtotal="0">
      <items count="4">
        <item x="0"/>
        <item x="1"/>
        <item x="2"/>
        <item h="1" x="3"/>
      </items>
    </pivotField>
    <pivotField name="Nome do proponente" axis="axisRow" compact="0" outline="0" multipleItemSelectionAllowed="1" showAll="0" sortType="ascending" defaultSubtotal="0">
      <items count="33">
        <item x="20"/>
        <item x="11"/>
        <item x="29"/>
        <item x="22"/>
        <item x="31"/>
        <item x="16"/>
        <item x="9"/>
        <item x="13"/>
        <item x="24"/>
        <item x="18"/>
        <item x="12"/>
        <item x="26"/>
        <item x="6"/>
        <item x="15"/>
        <item x="30"/>
        <item x="5"/>
        <item x="17"/>
        <item x="14"/>
        <item x="8"/>
        <item x="27"/>
        <item x="4"/>
        <item x="7"/>
        <item x="23"/>
        <item x="3"/>
        <item x="28"/>
        <item x="10"/>
        <item x="21"/>
        <item x="19"/>
        <item x="0"/>
        <item x="2"/>
        <item x="25"/>
        <item x="1"/>
        <item x="32"/>
      </items>
    </pivotField>
    <pivotField name="UF do Proponente" compact="0" outline="0" multipleItemSelectionAllowed="1" showAll="0"/>
    <pivotField name="Instrumento" axis="axisRow" compact="0" outline="0" multipleItemSelectionAllowed="1" showAll="0" sortType="ascending">
      <items count="36">
        <item x="32"/>
        <item x="31"/>
        <item x="33"/>
        <item x="3"/>
        <item x="2"/>
        <item x="27"/>
        <item x="16"/>
        <item x="8"/>
        <item x="20"/>
        <item x="23"/>
        <item x="10"/>
        <item x="22"/>
        <item x="25"/>
        <item x="5"/>
        <item x="24"/>
        <item x="9"/>
        <item x="14"/>
        <item x="19"/>
        <item x="4"/>
        <item x="17"/>
        <item x="15"/>
        <item x="26"/>
        <item x="13"/>
        <item x="21"/>
        <item x="7"/>
        <item x="12"/>
        <item x="11"/>
        <item x="6"/>
        <item x="28"/>
        <item x="29"/>
        <item x="30"/>
        <item x="0"/>
        <item x="1"/>
        <item x="18"/>
        <item x="34"/>
        <item t="default"/>
      </items>
    </pivotField>
    <pivotField name="Número da Proposta" compact="0" outline="0" multipleItemSelectionAllowed="1" showAll="0"/>
    <pivotField name="Número do processo SEI" compact="0" outline="0" multipleItemSelectionAllowed="1" showAll="0"/>
    <pivotField name="Objeto" compact="0" outline="0" multipleItemSelectionAllowed="1" showAll="0"/>
    <pivotField name="Modalidade" compact="0" outline="0" multipleItemSelectionAllowed="1" showAll="0"/>
    <pivotField name="Código do Programa" compact="0" outline="0" multipleItemSelectionAllowed="1" showAll="0"/>
    <pivotField name="Parlamentar Solicitante" compact="0" outline="0" multipleItemSelectionAllowed="1" showAll="0"/>
    <pivotField name="Data Início de Vigência" dataField="1" compact="0" numFmtId="164" outline="0" multipleItemSelectionAllowed="1" showAll="0"/>
    <pivotField name="Data Término de Vigência Atual" dataField="1" compact="0" numFmtId="14" outline="0" multipleItemSelectionAllowed="1" showAll="0"/>
    <pivotField name="Valor de Repasse da Proposta" compact="0" numFmtId="165" outline="0" multipleItemSelectionAllowed="1" showAll="0"/>
    <pivotField name="Valor Global" compact="0" numFmtId="165" outline="0" multipleItemSelectionAllowed="1" showAll="0"/>
    <pivotField name="Valor do Empenho" compact="0" numFmtId="165" outline="0" multipleItemSelectionAllowed="1" showAll="0"/>
    <pivotField name="Repasse Financeiro Realizado?" compact="0" outline="0" multipleItemSelectionAllowed="1" showAll="0"/>
    <pivotField name="Valor Já Repassado (MTur)" compact="0" numFmtId="165" outline="0" multipleItemSelectionAllowed="1" showAll="0"/>
    <pivotField name="Saiu da Cláusula Suspensiva?" compact="0" outline="0" multipleItemSelectionAllowed="1" showAll="0"/>
    <pivotField name="Termo Aditivo Assinado?" compact="0" outline="0" multipleItemSelectionAllowed="1" showAll="0"/>
    <pivotField name="Motivo da Permanência na Cláusula Suspensiva" compact="0" outline="0" multipleItemSelectionAllowed="1" showAll="0"/>
  </pivotFields>
  <rowFields count="3">
    <field x="0"/>
    <field x="1"/>
    <field x="3"/>
  </rowFields>
  <rowItems count="35">
    <i>
      <x/>
      <x v="23"/>
      <x v="3"/>
    </i>
    <i r="1">
      <x v="28"/>
      <x v="31"/>
    </i>
    <i r="1">
      <x v="29"/>
      <x v="4"/>
    </i>
    <i r="1">
      <x v="31"/>
      <x v="32"/>
    </i>
    <i>
      <x v="1"/>
      <x/>
      <x v="11"/>
    </i>
    <i r="1">
      <x v="1"/>
      <x v="26"/>
    </i>
    <i r="1">
      <x v="3"/>
      <x v="14"/>
    </i>
    <i r="1">
      <x v="5"/>
      <x v="6"/>
    </i>
    <i r="1">
      <x v="6"/>
      <x v="15"/>
    </i>
    <i r="1">
      <x v="7"/>
      <x v="22"/>
    </i>
    <i r="1">
      <x v="8"/>
      <x v="21"/>
    </i>
    <i r="1">
      <x v="9"/>
      <x v="17"/>
    </i>
    <i r="1">
      <x v="10"/>
      <x v="25"/>
    </i>
    <i r="1">
      <x v="12"/>
      <x v="27"/>
    </i>
    <i r="1">
      <x v="13"/>
      <x v="20"/>
    </i>
    <i r="1">
      <x v="15"/>
      <x v="13"/>
    </i>
    <i r="1">
      <x v="16"/>
      <x v="19"/>
    </i>
    <i r="2">
      <x v="33"/>
    </i>
    <i r="1">
      <x v="17"/>
      <x v="16"/>
    </i>
    <i r="1">
      <x v="18"/>
      <x v="7"/>
    </i>
    <i r="1">
      <x v="20"/>
      <x v="18"/>
    </i>
    <i r="1">
      <x v="21"/>
      <x v="24"/>
    </i>
    <i r="1">
      <x v="22"/>
      <x v="12"/>
    </i>
    <i r="1">
      <x v="23"/>
      <x v="23"/>
    </i>
    <i r="1">
      <x v="25"/>
      <x v="10"/>
    </i>
    <i r="1">
      <x v="26"/>
      <x v="9"/>
    </i>
    <i r="1">
      <x v="27"/>
      <x v="8"/>
    </i>
    <i r="1">
      <x v="30"/>
      <x v="5"/>
    </i>
    <i>
      <x v="2"/>
      <x v="2"/>
      <x v="1"/>
    </i>
    <i r="1">
      <x v="4"/>
      <x v="34"/>
    </i>
    <i r="1">
      <x v="11"/>
      <x v="28"/>
    </i>
    <i r="1">
      <x v="14"/>
      <x v="2"/>
    </i>
    <i r="1">
      <x v="19"/>
      <x v="29"/>
    </i>
    <i r="1">
      <x v="24"/>
      <x v="30"/>
    </i>
    <i r="1">
      <x v="30"/>
      <x/>
    </i>
  </rowItems>
  <colFields count="1">
    <field x="-2"/>
  </colFields>
  <colItems count="2">
    <i>
      <x/>
    </i>
    <i i="1">
      <x v="1"/>
    </i>
  </colItems>
  <dataFields count="2">
    <dataField name="Data Início de Vigência" fld="10" subtotal="max" baseField="0"/>
    <dataField name="Data Término de Vigência" fld="11" subtotal="min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7000000}" name="Resumo de Fomentos 3" cacheId="976" applyNumberFormats="0" applyBorderFormats="0" applyFontFormats="0" applyPatternFormats="0" applyAlignmentFormats="0" applyWidthHeightFormats="0" dataCaption="" updatedVersion="8" rowGrandTotals="0" compact="0" compactData="0">
  <location ref="Q1:U13" firstHeaderRow="1" firstDataRow="2" firstDataCol="3"/>
  <pivotFields count="20">
    <pivotField name="Ano" axis="axisRow" compact="0" outline="0" multipleItemSelectionAllowed="1" showAll="0" sortType="ascending" defaultSubtotal="0">
      <items count="3">
        <item x="0"/>
        <item x="1"/>
        <item x="2"/>
      </items>
    </pivotField>
    <pivotField name="Nome do proponente" axis="axisRow" compact="0" outline="0" multipleItemSelectionAllowed="1" showAll="0" sortType="ascending" defaultSubtotal="0">
      <items count="11">
        <item x="10"/>
        <item x="9"/>
        <item x="0"/>
        <item x="7"/>
        <item x="3"/>
        <item x="5"/>
        <item x="1"/>
        <item x="4"/>
        <item x="2"/>
        <item x="6"/>
        <item x="8"/>
      </items>
    </pivotField>
    <pivotField name="UF do Proponente" compact="0" outline="0" multipleItemSelectionAllowed="1" showAll="0"/>
    <pivotField name="Instrumento" axis="axisRow" compact="0" outline="0" multipleItemSelectionAllowed="1" showAll="0" sortType="ascending">
      <items count="12">
        <item x="9"/>
        <item x="0"/>
        <item x="4"/>
        <item x="6"/>
        <item x="7"/>
        <item x="5"/>
        <item x="3"/>
        <item x="2"/>
        <item x="1"/>
        <item x="10"/>
        <item x="8"/>
        <item t="default"/>
      </items>
    </pivotField>
    <pivotField name="Número da Proposta" compact="0" outline="0" multipleItemSelectionAllowed="1" showAll="0"/>
    <pivotField name="Número do processo SEI" compact="0" outline="0" multipleItemSelectionAllowed="1" showAll="0"/>
    <pivotField name="Objeto" compact="0" outline="0" multipleItemSelectionAllowed="1" showAll="0"/>
    <pivotField name="Modalidade" compact="0" outline="0" multipleItemSelectionAllowed="1" showAll="0"/>
    <pivotField name="Código do Programa" compact="0" outline="0" multipleItemSelectionAllowed="1" showAll="0"/>
    <pivotField name="Parlamentar Solicitante" compact="0" outline="0" multipleItemSelectionAllowed="1" showAll="0"/>
    <pivotField name="Data Início de Vigência" dataField="1" compact="0" numFmtId="164" outline="0" multipleItemSelectionAllowed="1" showAll="0"/>
    <pivotField name="Data Término de Vigência Atual" dataField="1" compact="0" numFmtId="14" outline="0" multipleItemSelectionAllowed="1" showAll="0"/>
    <pivotField name="Valor de Repasse da Proposta" compact="0" numFmtId="165" outline="0" multipleItemSelectionAllowed="1" showAll="0"/>
    <pivotField name="Valor Global" compact="0" numFmtId="165" outline="0" multipleItemSelectionAllowed="1" showAll="0"/>
    <pivotField name="Valor do Empenho" compact="0" numFmtId="165" outline="0" multipleItemSelectionAllowed="1" showAll="0"/>
    <pivotField name="Repasse Financeiro Realizado?" compact="0" outline="0" multipleItemSelectionAllowed="1" showAll="0"/>
    <pivotField name="Valor Já Repassado (MTur)" compact="0" numFmtId="165" outline="0" multipleItemSelectionAllowed="1" showAll="0"/>
    <pivotField name="Saiu das Ressalvas?" compact="0" outline="0" multipleItemSelectionAllowed="1" showAll="0"/>
    <pivotField name="Termo Aditivo Assinado?" compact="0" outline="0" multipleItemSelectionAllowed="1" showAll="0"/>
    <pivotField name="Motivo da Permanência nas Ressalvas" compact="0" outline="0" multipleItemSelectionAllowed="1" showAll="0"/>
  </pivotFields>
  <rowFields count="3">
    <field x="0"/>
    <field x="1"/>
    <field x="3"/>
  </rowFields>
  <rowItems count="11">
    <i>
      <x/>
      <x v="2"/>
      <x v="1"/>
    </i>
    <i>
      <x v="1"/>
      <x v="3"/>
      <x v="4"/>
    </i>
    <i r="1">
      <x v="4"/>
      <x v="6"/>
    </i>
    <i r="1">
      <x v="5"/>
      <x v="5"/>
    </i>
    <i r="1">
      <x v="6"/>
      <x v="8"/>
    </i>
    <i r="1">
      <x v="7"/>
      <x v="2"/>
    </i>
    <i r="1">
      <x v="8"/>
      <x v="7"/>
    </i>
    <i r="1">
      <x v="9"/>
      <x v="3"/>
    </i>
    <i>
      <x v="2"/>
      <x/>
      <x v="9"/>
    </i>
    <i r="1">
      <x v="1"/>
      <x/>
    </i>
    <i r="1">
      <x v="10"/>
      <x v="10"/>
    </i>
  </rowItems>
  <colFields count="1">
    <field x="-2"/>
  </colFields>
  <colItems count="2">
    <i>
      <x/>
    </i>
    <i i="1">
      <x v="1"/>
    </i>
  </colItems>
  <dataFields count="2">
    <dataField name="Data Início de Vigência" fld="10" subtotal="max" baseField="0"/>
    <dataField name="Data Término de Vigência" fld="11" subtotal="min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6000000}" name="Resumo de Fomentos 4" cacheId="976" applyNumberFormats="0" applyBorderFormats="0" applyFontFormats="0" applyPatternFormats="0" applyAlignmentFormats="0" applyWidthHeightFormats="0" dataCaption="" updatedVersion="8" rowGrandTotals="0" compact="0" compactData="0">
  <location ref="X1:AA12" firstHeaderRow="1" firstDataRow="1" firstDataCol="4"/>
  <pivotFields count="20">
    <pivotField name="Ano" axis="axisRow" compact="0" outline="0" multipleItemSelectionAllowed="1" showAll="0" sortType="ascending" defaultSubtotal="0">
      <items count="3">
        <item x="0"/>
        <item x="1"/>
        <item x="2"/>
      </items>
    </pivotField>
    <pivotField name="Nome do proponente" axis="axisRow" compact="0" outline="0" multipleItemSelectionAllowed="1" showAll="0" sortType="ascending">
      <items count="12">
        <item x="10"/>
        <item x="9"/>
        <item x="0"/>
        <item x="7"/>
        <item x="3"/>
        <item x="5"/>
        <item x="1"/>
        <item x="4"/>
        <item x="2"/>
        <item x="6"/>
        <item x="8"/>
        <item t="default"/>
      </items>
    </pivotField>
    <pivotField name="UF do Proponente" compact="0" outline="0" multipleItemSelectionAllowed="1" showAll="0"/>
    <pivotField name="Instrumento" axis="axisRow" compact="0" outline="0" multipleItemSelectionAllowed="1" showAll="0" sortType="ascending" defaultSubtotal="0">
      <items count="11">
        <item x="9"/>
        <item x="0"/>
        <item x="4"/>
        <item x="6"/>
        <item x="7"/>
        <item x="5"/>
        <item x="3"/>
        <item x="2"/>
        <item x="1"/>
        <item x="10"/>
        <item x="8"/>
      </items>
    </pivotField>
    <pivotField name="Número da Proposta" compact="0" outline="0" multipleItemSelectionAllowed="1" showAll="0"/>
    <pivotField name="Número do processo SEI" compact="0" outline="0" multipleItemSelectionAllowed="1" showAll="0"/>
    <pivotField name="Objeto" compact="0" outline="0" multipleItemSelectionAllowed="1" showAll="0"/>
    <pivotField name="Modalidade" compact="0" outline="0" multipleItemSelectionAllowed="1" showAll="0"/>
    <pivotField name="Código do Programa" axis="axisRow" compact="0" outline="0" multipleItemSelectionAllowed="1" showAll="0" sortType="ascending" defaultSubtotal="0">
      <items count="4">
        <item x="0"/>
        <item x="1"/>
        <item x="3"/>
        <item x="2"/>
      </items>
    </pivotField>
    <pivotField name="Parlamentar Solicitante" compact="0" outline="0" multipleItemSelectionAllowed="1" showAll="0"/>
    <pivotField name="Data Início de Vigência" compact="0" numFmtId="164" outline="0" multipleItemSelectionAllowed="1" showAll="0"/>
    <pivotField name="Data Término de Vigência Atual" compact="0" numFmtId="14" outline="0" multipleItemSelectionAllowed="1" showAll="0"/>
    <pivotField name="Valor de Repasse da Proposta" compact="0" numFmtId="165" outline="0" multipleItemSelectionAllowed="1" showAll="0"/>
    <pivotField name="Valor Global" compact="0" numFmtId="165" outline="0" multipleItemSelectionAllowed="1" showAll="0"/>
    <pivotField name="Valor do Empenho" compact="0" numFmtId="165" outline="0" multipleItemSelectionAllowed="1" showAll="0"/>
    <pivotField name="Repasse Financeiro Realizado?" compact="0" outline="0" multipleItemSelectionAllowed="1" showAll="0"/>
    <pivotField name="Valor Já Repassado (MTur)" compact="0" numFmtId="165" outline="0" multipleItemSelectionAllowed="1" showAll="0"/>
    <pivotField name="Saiu das Ressalvas?" compact="0" outline="0" multipleItemSelectionAllowed="1" showAll="0"/>
    <pivotField name="Termo Aditivo Assinado?" compact="0" outline="0" multipleItemSelectionAllowed="1" showAll="0"/>
    <pivotField name="Motivo da Permanência nas Ressalvas" compact="0" outline="0" multipleItemSelectionAllowed="1" showAll="0"/>
  </pivotFields>
  <rowFields count="4">
    <field x="0"/>
    <field x="8"/>
    <field x="3"/>
    <field x="1"/>
  </rowFields>
  <rowItems count="11">
    <i>
      <x/>
      <x/>
      <x v="1"/>
      <x v="2"/>
    </i>
    <i>
      <x v="1"/>
      <x v="1"/>
      <x v="2"/>
      <x v="7"/>
    </i>
    <i r="2">
      <x v="3"/>
      <x v="9"/>
    </i>
    <i r="2">
      <x v="4"/>
      <x v="3"/>
    </i>
    <i r="2">
      <x v="5"/>
      <x v="5"/>
    </i>
    <i r="2">
      <x v="6"/>
      <x v="4"/>
    </i>
    <i r="2">
      <x v="7"/>
      <x v="8"/>
    </i>
    <i r="2">
      <x v="8"/>
      <x v="6"/>
    </i>
    <i>
      <x v="2"/>
      <x v="2"/>
      <x v="9"/>
      <x/>
    </i>
    <i r="1">
      <x v="3"/>
      <x/>
      <x v="1"/>
    </i>
    <i r="2">
      <x v="10"/>
      <x v="10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5000000}" name="Resumo de Fomentos" cacheId="982" applyNumberFormats="0" applyBorderFormats="0" applyFontFormats="0" applyPatternFormats="0" applyAlignmentFormats="0" applyWidthHeightFormats="0" dataCaption="" updatedVersion="8" compact="0" compactData="0">
  <location ref="A1:G14" firstHeaderRow="1" firstDataRow="2" firstDataCol="3"/>
  <pivotFields count="20">
    <pivotField name="Ano" axis="axisRow" compact="0" outline="0" multipleItemSelectionAllowed="1" showAll="0" sortType="ascending" defaultSubtotal="0">
      <items count="3">
        <item h="1" x="0"/>
        <item x="1"/>
        <item x="2"/>
      </items>
    </pivotField>
    <pivotField name="Nome do proponente" axis="axisRow" compact="0" outline="0" multipleItemSelectionAllowed="1" showAll="0" sortType="ascending" defaultSubtotal="0">
      <items count="12">
        <item x="10"/>
        <item x="9"/>
        <item x="0"/>
        <item x="7"/>
        <item x="3"/>
        <item x="5"/>
        <item x="1"/>
        <item x="4"/>
        <item x="2"/>
        <item x="11"/>
        <item x="6"/>
        <item x="8"/>
      </items>
    </pivotField>
    <pivotField name="UF do Proponente" compact="0" outline="0" multipleItemSelectionAllowed="1" showAll="0"/>
    <pivotField name="Instrumento" compact="0" outline="0" multipleItemSelectionAllowed="1" showAll="0"/>
    <pivotField name="Número da Proposta" axis="axisRow" compact="0" outline="0" multipleItemSelectionAllowed="1" showAll="0" sortType="ascending">
      <items count="13">
        <item x="10"/>
        <item x="8"/>
        <item x="9"/>
        <item x="11"/>
        <item x="0"/>
        <item x="7"/>
        <item x="6"/>
        <item x="5"/>
        <item x="4"/>
        <item x="3"/>
        <item x="2"/>
        <item x="1"/>
        <item t="default"/>
      </items>
    </pivotField>
    <pivotField name="Número do processo SEI" compact="0" outline="0" multipleItemSelectionAllowed="1" showAll="0"/>
    <pivotField name="Objeto" compact="0" outline="0" multipleItemSelectionAllowed="1" showAll="0"/>
    <pivotField name="Modalidade" compact="0" outline="0" multipleItemSelectionAllowed="1" showAll="0"/>
    <pivotField name="Código do Programa" compact="0" outline="0" multipleItemSelectionAllowed="1" showAll="0"/>
    <pivotField name="Parlamentar Solicitante" compact="0" outline="0" multipleItemSelectionAllowed="1" showAll="0"/>
    <pivotField name="Data Início de Vigência" compact="0" numFmtId="164" outline="0" multipleItemSelectionAllowed="1" showAll="0"/>
    <pivotField name="Data Término de Vigência Atual" compact="0" numFmtId="14" outline="0" multipleItemSelectionAllowed="1" showAll="0"/>
    <pivotField name="Valor de Repasse da Proposta" dataField="1" compact="0" numFmtId="165" outline="0" multipleItemSelectionAllowed="1" showAll="0"/>
    <pivotField name="Valor Global" dataField="1" compact="0" numFmtId="165" outline="0" multipleItemSelectionAllowed="1" showAll="0"/>
    <pivotField name="Valor do Empenho" dataField="1" compact="0" numFmtId="165" outline="0" multipleItemSelectionAllowed="1" showAll="0"/>
    <pivotField name="Repasse Financeiro Realizado?" compact="0" outline="0" multipleItemSelectionAllowed="1" showAll="0"/>
    <pivotField name="Valor Já Repassado (MTur)" dataField="1" compact="0" numFmtId="165" outline="0" multipleItemSelectionAllowed="1" showAll="0"/>
    <pivotField name="Saiu das Ressalvas?" compact="0" outline="0" multipleItemSelectionAllowed="1" showAll="0"/>
    <pivotField name="Termo Aditivo Assinado?" compact="0" outline="0" multipleItemSelectionAllowed="1" showAll="0"/>
    <pivotField name="Motivo da Permanência nas Ressalvas" compact="0" outline="0" multipleItemSelectionAllowed="1" showAll="0"/>
  </pivotFields>
  <rowFields count="3">
    <field x="0"/>
    <field x="1"/>
    <field x="4"/>
  </rowFields>
  <rowItems count="12">
    <i>
      <x v="1"/>
      <x v="3"/>
      <x v="5"/>
    </i>
    <i r="1">
      <x v="4"/>
      <x v="9"/>
    </i>
    <i r="1">
      <x v="5"/>
      <x v="7"/>
    </i>
    <i r="1">
      <x v="6"/>
      <x v="11"/>
    </i>
    <i r="1">
      <x v="7"/>
      <x v="8"/>
    </i>
    <i r="1">
      <x v="8"/>
      <x v="10"/>
    </i>
    <i r="1">
      <x v="10"/>
      <x v="6"/>
    </i>
    <i>
      <x v="2"/>
      <x/>
      <x/>
    </i>
    <i r="1">
      <x v="1"/>
      <x v="2"/>
    </i>
    <i r="1">
      <x v="9"/>
      <x v="3"/>
    </i>
    <i r="1">
      <x v="11"/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Valor Global" fld="13" baseField="0"/>
    <dataField name="Valor de Repasse da Proposta" fld="12" baseField="0"/>
    <dataField name="Valor do Empenho" fld="14" baseField="0"/>
    <dataField name="Valor Já Repassado (MTur)" fld="1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Resumo de Fomentos 2" cacheId="976" applyNumberFormats="0" applyBorderFormats="0" applyFontFormats="0" applyPatternFormats="0" applyAlignmentFormats="0" applyWidthHeightFormats="0" dataCaption="" updatedVersion="8" rowGrandTotals="0" compact="0" compactData="0">
  <location ref="J1:M11" firstHeaderRow="1" firstDataRow="1" firstDataCol="4"/>
  <pivotFields count="20">
    <pivotField name="Ano" axis="axisRow" compact="0" outline="0" multipleItemSelectionAllowed="1" showAll="0" sortType="ascending" defaultSubtotal="0">
      <items count="3">
        <item h="1" x="0"/>
        <item x="1"/>
        <item x="2"/>
      </items>
    </pivotField>
    <pivotField name="Nome do proponente" axis="axisRow" compact="0" outline="0" multipleItemSelectionAllowed="1" showAll="0" sortType="ascending" defaultSubtotal="0">
      <items count="11">
        <item x="10"/>
        <item x="9"/>
        <item x="0"/>
        <item x="7"/>
        <item x="3"/>
        <item x="5"/>
        <item x="1"/>
        <item x="4"/>
        <item x="2"/>
        <item x="6"/>
        <item x="8"/>
      </items>
    </pivotField>
    <pivotField name="UF do Proponente" compact="0" outline="0" multipleItemSelectionAllowed="1" showAll="0"/>
    <pivotField name="Instrumento" axis="axisRow" compact="0" outline="0" multipleItemSelectionAllowed="1" showAll="0" sortType="ascending" defaultSubtotal="0">
      <items count="11">
        <item x="9"/>
        <item x="0"/>
        <item x="4"/>
        <item x="6"/>
        <item x="7"/>
        <item x="5"/>
        <item x="3"/>
        <item x="2"/>
        <item x="1"/>
        <item x="10"/>
        <item x="8"/>
      </items>
    </pivotField>
    <pivotField name="Número da Proposta" compact="0" outline="0" multipleItemSelectionAllowed="1" showAll="0"/>
    <pivotField name="Número do processo SEI" compact="0" outline="0" multipleItemSelectionAllowed="1" showAll="0"/>
    <pivotField name="Objeto" compact="0" outline="0" multipleItemSelectionAllowed="1" showAll="0"/>
    <pivotField name="Modalidade" compact="0" outline="0" multipleItemSelectionAllowed="1" showAll="0"/>
    <pivotField name="Código do Programa" compact="0" outline="0" multipleItemSelectionAllowed="1" showAll="0"/>
    <pivotField name="Parlamentar Solicitante" compact="0" outline="0" multipleItemSelectionAllowed="1" showAll="0"/>
    <pivotField name="Data Início de Vigência" compact="0" numFmtId="164" outline="0" multipleItemSelectionAllowed="1" showAll="0"/>
    <pivotField name="Data Término de Vigência Atual" compact="0" numFmtId="14" outline="0" multipleItemSelectionAllowed="1" showAll="0"/>
    <pivotField name="Valor de Repasse da Proposta" compact="0" numFmtId="165" outline="0" multipleItemSelectionAllowed="1" showAll="0"/>
    <pivotField name="Valor Global" compact="0" numFmtId="165" outline="0" multipleItemSelectionAllowed="1" showAll="0"/>
    <pivotField name="Valor do Empenho" compact="0" numFmtId="165" outline="0" multipleItemSelectionAllowed="1" showAll="0"/>
    <pivotField name="Repasse Financeiro Realizado?" compact="0" outline="0" multipleItemSelectionAllowed="1" showAll="0"/>
    <pivotField name="Valor Já Repassado (MTur)" compact="0" numFmtId="165" outline="0" multipleItemSelectionAllowed="1" showAll="0"/>
    <pivotField name="Saiu das Ressalvas?" compact="0" outline="0" multipleItemSelectionAllowed="1" showAll="0"/>
    <pivotField name="Termo Aditivo Assinado?" compact="0" outline="0" multipleItemSelectionAllowed="1" showAll="0"/>
    <pivotField name="Motivo da Permanência nas Ressalvas" axis="axisRow" compact="0" outline="0" multipleItemSelectionAllowed="1" showAll="0" sortType="ascending">
      <items count="6">
        <item x="4"/>
        <item x="2"/>
        <item x="0"/>
        <item x="3"/>
        <item x="1"/>
        <item t="default"/>
      </items>
    </pivotField>
  </pivotFields>
  <rowFields count="4">
    <field x="0"/>
    <field x="1"/>
    <field x="3"/>
    <field x="19"/>
  </rowFields>
  <rowItems count="10">
    <i>
      <x v="1"/>
      <x v="3"/>
      <x v="4"/>
      <x v="4"/>
    </i>
    <i r="1">
      <x v="4"/>
      <x v="6"/>
      <x v="4"/>
    </i>
    <i r="1">
      <x v="5"/>
      <x v="5"/>
      <x v="4"/>
    </i>
    <i r="1">
      <x v="6"/>
      <x v="8"/>
      <x v="4"/>
    </i>
    <i r="1">
      <x v="7"/>
      <x v="2"/>
      <x v="4"/>
    </i>
    <i r="1">
      <x v="8"/>
      <x v="7"/>
      <x v="4"/>
    </i>
    <i r="1">
      <x v="9"/>
      <x v="3"/>
      <x v="4"/>
    </i>
    <i>
      <x v="2"/>
      <x/>
      <x v="9"/>
      <x/>
    </i>
    <i r="1">
      <x v="1"/>
      <x/>
      <x v="3"/>
    </i>
    <i r="1">
      <x v="10"/>
      <x v="10"/>
      <x v="1"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8000000}" name="Tabela dinâmica 1" cacheId="968" applyNumberFormats="0" applyBorderFormats="0" applyFontFormats="0" applyPatternFormats="0" applyAlignmentFormats="0" applyWidthHeightFormats="0" dataCaption="" updatedVersion="8" compact="0" compactData="0">
  <location ref="A1:C7" firstHeaderRow="1" firstDataRow="2" firstDataCol="1"/>
  <pivotFields count="15">
    <pivotField name="Ano" compact="0" outline="0" multipleItemSelectionAllowed="1" showAll="0"/>
    <pivotField name="Nome do proponente" axis="axisRow" compact="0" outline="0" multipleItemSelectionAllowed="1" showAll="0" sortType="ascending">
      <items count="5">
        <item x="3"/>
        <item x="0"/>
        <item x="1"/>
        <item x="2"/>
        <item t="default"/>
      </items>
    </pivotField>
    <pivotField name="UF do Proponente" compact="0" outline="0" multipleItemSelectionAllowed="1" showAll="0"/>
    <pivotField name="Instrumento" compact="0" outline="0" multipleItemSelectionAllowed="1" showAll="0"/>
    <pivotField name="Número do processo SEI" compact="0" outline="0" multipleItemSelectionAllowed="1" showAll="0"/>
    <pivotField name="Modalidade" compact="0" outline="0" multipleItemSelectionAllowed="1" showAll="0"/>
    <pivotField name="Parlamentar Solicitante" compact="0" outline="0" multipleItemSelectionAllowed="1" showAll="0"/>
    <pivotField name="Data Início de Vigência" compact="0" numFmtId="14" outline="0" multipleItemSelectionAllowed="1" showAll="0"/>
    <pivotField name="Data Término de Vigência Atual" compact="0" numFmtId="14" outline="0" multipleItemSelectionAllowed="1" showAll="0"/>
    <pivotField name="Valor Total do Plano de Ação" compact="0" numFmtId="165" outline="0" multipleItemSelectionAllowed="1" showAll="0"/>
    <pivotField name="Valor Global" dataField="1" compact="0" numFmtId="165" outline="0" multipleItemSelectionAllowed="1" showAll="0"/>
    <pivotField name="Repasse Financeiro Realizado?" compact="0" outline="0" multipleItemSelectionAllowed="1" showAll="0"/>
    <pivotField name="Valor Já Repassado (MTur)" dataField="1" compact="0" numFmtId="165" outline="0" multipleItemSelectionAllowed="1" showAll="0"/>
    <pivotField name="Situação" compact="0" outline="0" multipleItemSelectionAllowed="1" showAll="0"/>
    <pivotField name="Observações" compact="0" outline="0" multipleItemSelectionAllowe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Valor Global" fld="10" baseField="0"/>
    <dataField name="Valor Já Repassado (MTur)" fld="1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155CC"/>
    <outlinePr summaryBelow="0" summaryRight="0"/>
    <pageSetUpPr fitToPage="1"/>
  </sheetPr>
  <dimension ref="A1:AL1006"/>
  <sheetViews>
    <sheetView tabSelected="1" workbookViewId="0">
      <pane ySplit="2" topLeftCell="A3" activePane="bottomLeft" state="frozen"/>
      <selection pane="bottomLeft" activeCell="B4" sqref="B4"/>
    </sheetView>
  </sheetViews>
  <sheetFormatPr defaultColWidth="11.25" defaultRowHeight="15.75" customHeight="1"/>
  <cols>
    <col min="2" max="2" width="47.875" customWidth="1"/>
    <col min="3" max="3" width="13.125" customWidth="1"/>
    <col min="4" max="4" width="21.5" customWidth="1"/>
    <col min="5" max="5" width="12.625" customWidth="1"/>
    <col min="6" max="6" width="21.625" customWidth="1"/>
    <col min="7" max="7" width="8.625" hidden="1" customWidth="1"/>
    <col min="8" max="8" width="12.875" customWidth="1"/>
    <col min="9" max="9" width="15.75" customWidth="1"/>
    <col min="10" max="10" width="24.375" customWidth="1"/>
    <col min="11" max="11" width="12.625" customWidth="1"/>
    <col min="12" max="12" width="14.375" customWidth="1"/>
    <col min="13" max="13" width="15.25" customWidth="1"/>
    <col min="14" max="14" width="17.5" customWidth="1"/>
    <col min="15" max="15" width="15.875" customWidth="1"/>
    <col min="16" max="16" width="13.25" customWidth="1"/>
    <col min="17" max="17" width="14.375" customWidth="1"/>
    <col min="18" max="18" width="17.75" customWidth="1"/>
    <col min="19" max="19" width="16.125" customWidth="1"/>
    <col min="20" max="20" width="46" customWidth="1"/>
    <col min="21" max="21" width="14.375" customWidth="1"/>
    <col min="22" max="22" width="28.75" customWidth="1"/>
    <col min="24" max="25" width="12.25" customWidth="1"/>
  </cols>
  <sheetData>
    <row r="1" spans="1:38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  <c r="O1" s="1"/>
      <c r="P1" s="46" t="s">
        <v>1</v>
      </c>
      <c r="Q1" s="48"/>
      <c r="R1" s="46" t="s">
        <v>2</v>
      </c>
      <c r="S1" s="48"/>
      <c r="T1" s="1" t="s">
        <v>3</v>
      </c>
      <c r="U1" s="46" t="s">
        <v>4</v>
      </c>
      <c r="V1" s="48"/>
    </row>
    <row r="2" spans="1:38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3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>
      <c r="A3" s="5">
        <v>2024</v>
      </c>
      <c r="B3" s="6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7" t="s">
        <v>33</v>
      </c>
      <c r="H3" s="5" t="s">
        <v>34</v>
      </c>
      <c r="I3" s="5">
        <v>5400020240008</v>
      </c>
      <c r="J3" s="6" t="s">
        <v>35</v>
      </c>
      <c r="K3" s="8">
        <v>45639</v>
      </c>
      <c r="L3" s="9">
        <v>46551</v>
      </c>
      <c r="M3" s="10">
        <v>500000</v>
      </c>
      <c r="N3" s="10">
        <v>546039.72</v>
      </c>
      <c r="O3" s="10">
        <v>500000</v>
      </c>
      <c r="P3" s="6" t="s">
        <v>36</v>
      </c>
      <c r="Q3" s="10">
        <v>500000</v>
      </c>
      <c r="R3" s="6" t="s">
        <v>36</v>
      </c>
      <c r="S3" s="6" t="s">
        <v>36</v>
      </c>
      <c r="T3" s="5"/>
      <c r="U3" s="5" t="s">
        <v>37</v>
      </c>
      <c r="V3" s="5" t="s">
        <v>38</v>
      </c>
      <c r="W3" s="9">
        <v>45968</v>
      </c>
    </row>
    <row r="4" spans="1:38">
      <c r="A4" s="5">
        <v>2024</v>
      </c>
      <c r="B4" s="6" t="s">
        <v>39</v>
      </c>
      <c r="C4" s="5" t="s">
        <v>29</v>
      </c>
      <c r="D4" s="5" t="s">
        <v>40</v>
      </c>
      <c r="E4" s="5" t="s">
        <v>41</v>
      </c>
      <c r="F4" s="5" t="s">
        <v>42</v>
      </c>
      <c r="G4" s="7" t="s">
        <v>43</v>
      </c>
      <c r="H4" s="5" t="s">
        <v>34</v>
      </c>
      <c r="I4" s="5">
        <v>5400020240008</v>
      </c>
      <c r="J4" s="6" t="s">
        <v>44</v>
      </c>
      <c r="K4" s="8">
        <v>45649</v>
      </c>
      <c r="L4" s="9">
        <v>46387</v>
      </c>
      <c r="M4" s="10">
        <v>1000000</v>
      </c>
      <c r="N4" s="10">
        <v>1000000</v>
      </c>
      <c r="O4" s="10">
        <v>1000000</v>
      </c>
      <c r="P4" s="6" t="s">
        <v>36</v>
      </c>
      <c r="Q4" s="10">
        <v>1000000</v>
      </c>
      <c r="R4" s="6" t="s">
        <v>36</v>
      </c>
      <c r="S4" s="6" t="s">
        <v>36</v>
      </c>
      <c r="T4" s="5"/>
      <c r="U4" s="5" t="s">
        <v>45</v>
      </c>
      <c r="V4" s="5" t="s">
        <v>46</v>
      </c>
      <c r="W4" s="9">
        <v>45802</v>
      </c>
    </row>
    <row r="5" spans="1:38">
      <c r="A5" s="5">
        <v>2024</v>
      </c>
      <c r="B5" s="6" t="s">
        <v>47</v>
      </c>
      <c r="C5" s="5" t="s">
        <v>48</v>
      </c>
      <c r="D5" s="5" t="s">
        <v>49</v>
      </c>
      <c r="E5" s="5" t="s">
        <v>50</v>
      </c>
      <c r="F5" s="5" t="s">
        <v>51</v>
      </c>
      <c r="G5" s="7" t="s">
        <v>52</v>
      </c>
      <c r="H5" s="5" t="s">
        <v>34</v>
      </c>
      <c r="I5" s="5">
        <v>5400020240008</v>
      </c>
      <c r="J5" s="6" t="s">
        <v>53</v>
      </c>
      <c r="K5" s="8">
        <v>45644</v>
      </c>
      <c r="L5" s="9">
        <v>46739</v>
      </c>
      <c r="M5" s="10">
        <v>1000000</v>
      </c>
      <c r="N5" s="10">
        <v>1050000</v>
      </c>
      <c r="O5" s="10">
        <v>1000000</v>
      </c>
      <c r="P5" s="6" t="s">
        <v>36</v>
      </c>
      <c r="Q5" s="10">
        <v>1000000</v>
      </c>
      <c r="R5" s="6" t="s">
        <v>36</v>
      </c>
      <c r="S5" s="6" t="s">
        <v>36</v>
      </c>
      <c r="T5" s="5"/>
      <c r="U5" s="5" t="s">
        <v>54</v>
      </c>
      <c r="V5" s="5" t="s">
        <v>55</v>
      </c>
      <c r="W5" s="9">
        <v>45699</v>
      </c>
    </row>
    <row r="6" spans="1:38">
      <c r="A6" s="5">
        <v>2024</v>
      </c>
      <c r="B6" s="6" t="s">
        <v>56</v>
      </c>
      <c r="C6" s="5" t="s">
        <v>58</v>
      </c>
      <c r="D6" s="5" t="s">
        <v>59</v>
      </c>
      <c r="E6" s="5" t="s">
        <v>60</v>
      </c>
      <c r="F6" s="5" t="s">
        <v>61</v>
      </c>
      <c r="G6" s="7" t="s">
        <v>62</v>
      </c>
      <c r="H6" s="5" t="s">
        <v>63</v>
      </c>
      <c r="I6" s="5">
        <v>5400020240012</v>
      </c>
      <c r="J6" s="6" t="s">
        <v>64</v>
      </c>
      <c r="K6" s="8">
        <v>45657</v>
      </c>
      <c r="L6" s="9">
        <v>46386</v>
      </c>
      <c r="M6" s="10">
        <v>1000000</v>
      </c>
      <c r="N6" s="10">
        <v>1020000</v>
      </c>
      <c r="O6" s="10">
        <v>1000000</v>
      </c>
      <c r="P6" s="6" t="s">
        <v>65</v>
      </c>
      <c r="Q6" s="10"/>
      <c r="R6" s="6" t="s">
        <v>36</v>
      </c>
      <c r="S6" s="6" t="s">
        <v>36</v>
      </c>
      <c r="T6" s="5" t="s">
        <v>66</v>
      </c>
      <c r="U6" s="5" t="s">
        <v>67</v>
      </c>
      <c r="V6" s="5" t="s">
        <v>68</v>
      </c>
      <c r="W6" s="9"/>
    </row>
    <row r="7" spans="1:38">
      <c r="A7" s="5">
        <v>2025</v>
      </c>
      <c r="B7" s="6" t="s">
        <v>69</v>
      </c>
      <c r="C7" s="5" t="s">
        <v>29</v>
      </c>
      <c r="D7" s="5" t="s">
        <v>70</v>
      </c>
      <c r="E7" s="5" t="s">
        <v>71</v>
      </c>
      <c r="F7" s="5" t="s">
        <v>72</v>
      </c>
      <c r="G7" s="7" t="s">
        <v>73</v>
      </c>
      <c r="H7" s="5" t="s">
        <v>74</v>
      </c>
      <c r="I7" s="5">
        <v>5400020250017</v>
      </c>
      <c r="J7" s="6" t="s">
        <v>75</v>
      </c>
      <c r="K7" s="8">
        <v>46022</v>
      </c>
      <c r="L7" s="9">
        <v>46507</v>
      </c>
      <c r="M7" s="10">
        <v>450000</v>
      </c>
      <c r="N7" s="10">
        <v>455000</v>
      </c>
      <c r="O7" s="10">
        <v>450000</v>
      </c>
      <c r="P7" s="6" t="s">
        <v>65</v>
      </c>
      <c r="Q7" s="10"/>
      <c r="R7" s="6" t="s">
        <v>65</v>
      </c>
      <c r="S7" s="6" t="s">
        <v>65</v>
      </c>
      <c r="T7" s="5" t="s">
        <v>76</v>
      </c>
      <c r="U7" s="5" t="s">
        <v>77</v>
      </c>
      <c r="V7" s="5" t="s">
        <v>78</v>
      </c>
      <c r="W7" s="9"/>
    </row>
    <row r="8" spans="1:38">
      <c r="A8" s="5">
        <v>2025</v>
      </c>
      <c r="B8" s="6" t="s">
        <v>80</v>
      </c>
      <c r="C8" s="5" t="s">
        <v>81</v>
      </c>
      <c r="D8" s="5" t="s">
        <v>82</v>
      </c>
      <c r="E8" s="5" t="s">
        <v>83</v>
      </c>
      <c r="F8" s="5" t="s">
        <v>85</v>
      </c>
      <c r="G8" s="7" t="s">
        <v>86</v>
      </c>
      <c r="H8" s="5" t="s">
        <v>74</v>
      </c>
      <c r="I8" s="5">
        <v>5400020250017</v>
      </c>
      <c r="J8" s="6" t="s">
        <v>87</v>
      </c>
      <c r="K8" s="8">
        <v>46010</v>
      </c>
      <c r="L8" s="8">
        <v>46740</v>
      </c>
      <c r="M8" s="10">
        <v>450000</v>
      </c>
      <c r="N8" s="10">
        <v>455377.26</v>
      </c>
      <c r="O8" s="10">
        <v>450000</v>
      </c>
      <c r="P8" s="6" t="s">
        <v>65</v>
      </c>
      <c r="Q8" s="10"/>
      <c r="R8" s="6" t="s">
        <v>65</v>
      </c>
      <c r="S8" s="6" t="s">
        <v>65</v>
      </c>
      <c r="T8" s="5" t="s">
        <v>88</v>
      </c>
      <c r="U8" s="5" t="s">
        <v>89</v>
      </c>
      <c r="V8" s="5" t="s">
        <v>90</v>
      </c>
      <c r="W8" s="9"/>
    </row>
    <row r="9" spans="1:38">
      <c r="A9" s="5">
        <v>2025</v>
      </c>
      <c r="B9" s="6" t="s">
        <v>91</v>
      </c>
      <c r="C9" s="5" t="s">
        <v>29</v>
      </c>
      <c r="D9" s="5" t="s">
        <v>93</v>
      </c>
      <c r="E9" s="5" t="s">
        <v>94</v>
      </c>
      <c r="F9" s="5" t="s">
        <v>95</v>
      </c>
      <c r="G9" s="7" t="s">
        <v>96</v>
      </c>
      <c r="H9" s="5" t="s">
        <v>74</v>
      </c>
      <c r="I9" s="5">
        <v>5400020250017</v>
      </c>
      <c r="J9" s="6" t="s">
        <v>99</v>
      </c>
      <c r="K9" s="8">
        <v>46014</v>
      </c>
      <c r="L9" s="8">
        <v>46744</v>
      </c>
      <c r="M9" s="10">
        <v>2994000</v>
      </c>
      <c r="N9" s="10">
        <v>3000000</v>
      </c>
      <c r="O9" s="10">
        <v>2994000</v>
      </c>
      <c r="P9" s="6" t="s">
        <v>65</v>
      </c>
      <c r="Q9" s="10"/>
      <c r="R9" s="6" t="s">
        <v>36</v>
      </c>
      <c r="S9" s="6" t="s">
        <v>36</v>
      </c>
      <c r="T9" s="5"/>
      <c r="U9" s="5" t="s">
        <v>102</v>
      </c>
      <c r="V9" s="5" t="s">
        <v>103</v>
      </c>
      <c r="W9" s="9"/>
    </row>
    <row r="10" spans="1:38">
      <c r="A10" s="5">
        <v>2025</v>
      </c>
      <c r="B10" s="6" t="s">
        <v>104</v>
      </c>
      <c r="C10" s="5" t="s">
        <v>105</v>
      </c>
      <c r="D10" s="5" t="s">
        <v>106</v>
      </c>
      <c r="E10" s="5" t="s">
        <v>107</v>
      </c>
      <c r="F10" s="5" t="s">
        <v>108</v>
      </c>
      <c r="G10" s="7" t="s">
        <v>109</v>
      </c>
      <c r="H10" s="5" t="s">
        <v>74</v>
      </c>
      <c r="I10" s="5">
        <v>5400020250017</v>
      </c>
      <c r="J10" s="6" t="s">
        <v>110</v>
      </c>
      <c r="K10" s="8">
        <v>46009</v>
      </c>
      <c r="L10" s="8">
        <v>46739</v>
      </c>
      <c r="M10" s="10">
        <v>990000</v>
      </c>
      <c r="N10" s="10">
        <v>1000000</v>
      </c>
      <c r="O10" s="10">
        <v>1000000</v>
      </c>
      <c r="P10" s="6" t="s">
        <v>65</v>
      </c>
      <c r="Q10" s="10"/>
      <c r="R10" s="6" t="s">
        <v>36</v>
      </c>
      <c r="S10" s="6" t="s">
        <v>36</v>
      </c>
      <c r="T10" s="5"/>
      <c r="U10" s="5" t="s">
        <v>111</v>
      </c>
      <c r="V10" s="5" t="s">
        <v>112</v>
      </c>
      <c r="W10" s="9"/>
    </row>
    <row r="11" spans="1:38">
      <c r="A11" s="5">
        <v>2025</v>
      </c>
      <c r="B11" s="6" t="s">
        <v>113</v>
      </c>
      <c r="C11" s="5" t="s">
        <v>114</v>
      </c>
      <c r="D11" s="5" t="s">
        <v>115</v>
      </c>
      <c r="E11" s="5" t="s">
        <v>116</v>
      </c>
      <c r="F11" s="5" t="s">
        <v>117</v>
      </c>
      <c r="G11" s="7" t="s">
        <v>109</v>
      </c>
      <c r="H11" s="5" t="s">
        <v>74</v>
      </c>
      <c r="I11" s="5">
        <v>5400020250017</v>
      </c>
      <c r="J11" s="6" t="s">
        <v>118</v>
      </c>
      <c r="K11" s="8">
        <v>46013</v>
      </c>
      <c r="L11" s="8">
        <v>46741</v>
      </c>
      <c r="M11" s="10">
        <v>700000</v>
      </c>
      <c r="N11" s="10">
        <v>707000</v>
      </c>
      <c r="O11" s="10">
        <v>700000</v>
      </c>
      <c r="P11" s="6" t="s">
        <v>65</v>
      </c>
      <c r="Q11" s="10"/>
      <c r="R11" s="6" t="s">
        <v>36</v>
      </c>
      <c r="S11" s="6" t="s">
        <v>36</v>
      </c>
      <c r="T11" s="5"/>
      <c r="U11" s="5" t="s">
        <v>119</v>
      </c>
      <c r="V11" s="5" t="s">
        <v>120</v>
      </c>
      <c r="W11" s="9"/>
    </row>
    <row r="12" spans="1:38">
      <c r="A12" s="5">
        <v>2025</v>
      </c>
      <c r="B12" s="6" t="s">
        <v>121</v>
      </c>
      <c r="C12" s="5" t="s">
        <v>48</v>
      </c>
      <c r="D12" s="5" t="s">
        <v>122</v>
      </c>
      <c r="E12" s="5" t="s">
        <v>123</v>
      </c>
      <c r="F12" s="5" t="s">
        <v>124</v>
      </c>
      <c r="G12" s="7" t="s">
        <v>125</v>
      </c>
      <c r="H12" s="5" t="s">
        <v>74</v>
      </c>
      <c r="I12" s="5">
        <v>5400020250017</v>
      </c>
      <c r="J12" s="6" t="s">
        <v>127</v>
      </c>
      <c r="K12" s="8">
        <v>46008</v>
      </c>
      <c r="L12" s="8">
        <v>46738</v>
      </c>
      <c r="M12" s="10">
        <v>1300000</v>
      </c>
      <c r="N12" s="10">
        <v>1301400</v>
      </c>
      <c r="O12" s="10">
        <v>1300000</v>
      </c>
      <c r="P12" s="6" t="s">
        <v>65</v>
      </c>
      <c r="Q12" s="10"/>
      <c r="R12" s="6" t="s">
        <v>65</v>
      </c>
      <c r="S12" s="6" t="s">
        <v>65</v>
      </c>
      <c r="T12" s="5" t="s">
        <v>130</v>
      </c>
      <c r="U12" s="5" t="s">
        <v>131</v>
      </c>
      <c r="V12" s="5" t="s">
        <v>132</v>
      </c>
      <c r="W12" s="9"/>
    </row>
    <row r="13" spans="1:38">
      <c r="A13" s="5">
        <v>2025</v>
      </c>
      <c r="B13" s="6" t="s">
        <v>134</v>
      </c>
      <c r="C13" s="5" t="s">
        <v>136</v>
      </c>
      <c r="D13" s="5" t="s">
        <v>137</v>
      </c>
      <c r="E13" s="5" t="s">
        <v>139</v>
      </c>
      <c r="F13" s="5" t="s">
        <v>140</v>
      </c>
      <c r="G13" s="7" t="s">
        <v>142</v>
      </c>
      <c r="H13" s="5" t="s">
        <v>74</v>
      </c>
      <c r="I13" s="5">
        <v>5400020250017</v>
      </c>
      <c r="J13" s="6" t="s">
        <v>145</v>
      </c>
      <c r="K13" s="8">
        <v>46010</v>
      </c>
      <c r="L13" s="8">
        <v>46740</v>
      </c>
      <c r="M13" s="10">
        <v>500000</v>
      </c>
      <c r="N13" s="10">
        <v>505000</v>
      </c>
      <c r="O13" s="10">
        <v>500000</v>
      </c>
      <c r="P13" s="6" t="s">
        <v>65</v>
      </c>
      <c r="Q13" s="10"/>
      <c r="R13" s="6" t="s">
        <v>36</v>
      </c>
      <c r="S13" s="6" t="s">
        <v>36</v>
      </c>
      <c r="T13" s="5" t="s">
        <v>147</v>
      </c>
      <c r="U13" s="5" t="s">
        <v>148</v>
      </c>
      <c r="V13" s="5" t="s">
        <v>149</v>
      </c>
      <c r="W13" s="9"/>
    </row>
    <row r="14" spans="1:38">
      <c r="A14" s="5">
        <v>2025</v>
      </c>
      <c r="B14" s="6" t="s">
        <v>150</v>
      </c>
      <c r="C14" s="5" t="s">
        <v>151</v>
      </c>
      <c r="D14" s="5" t="s">
        <v>152</v>
      </c>
      <c r="E14" s="5" t="s">
        <v>153</v>
      </c>
      <c r="F14" s="5" t="s">
        <v>154</v>
      </c>
      <c r="G14" s="7" t="s">
        <v>156</v>
      </c>
      <c r="H14" s="5" t="s">
        <v>74</v>
      </c>
      <c r="I14" s="5">
        <v>5400020250017</v>
      </c>
      <c r="J14" s="6" t="s">
        <v>158</v>
      </c>
      <c r="K14" s="8">
        <v>46021</v>
      </c>
      <c r="L14" s="8">
        <v>46752</v>
      </c>
      <c r="M14" s="10">
        <v>500000</v>
      </c>
      <c r="N14" s="10">
        <v>500500.5</v>
      </c>
      <c r="O14" s="10">
        <v>500000</v>
      </c>
      <c r="P14" s="6" t="s">
        <v>65</v>
      </c>
      <c r="Q14" s="10"/>
      <c r="R14" s="6" t="s">
        <v>36</v>
      </c>
      <c r="S14" s="6" t="s">
        <v>36</v>
      </c>
      <c r="T14" s="5" t="s">
        <v>165</v>
      </c>
      <c r="U14" s="5" t="s">
        <v>166</v>
      </c>
      <c r="V14" s="5" t="s">
        <v>167</v>
      </c>
      <c r="W14" s="9"/>
    </row>
    <row r="15" spans="1:38">
      <c r="A15" s="5">
        <v>2025</v>
      </c>
      <c r="B15" s="6" t="s">
        <v>168</v>
      </c>
      <c r="C15" s="5" t="s">
        <v>114</v>
      </c>
      <c r="D15" s="5" t="s">
        <v>169</v>
      </c>
      <c r="E15" s="5" t="s">
        <v>170</v>
      </c>
      <c r="F15" s="5" t="s">
        <v>171</v>
      </c>
      <c r="G15" s="7" t="s">
        <v>172</v>
      </c>
      <c r="H15" s="5" t="s">
        <v>74</v>
      </c>
      <c r="I15" s="5">
        <v>5400020250017</v>
      </c>
      <c r="J15" s="6" t="s">
        <v>173</v>
      </c>
      <c r="K15" s="8">
        <v>46014</v>
      </c>
      <c r="L15" s="8">
        <v>46744</v>
      </c>
      <c r="M15" s="10">
        <v>1259150</v>
      </c>
      <c r="N15" s="10">
        <v>1260750</v>
      </c>
      <c r="O15" s="10">
        <v>1450000</v>
      </c>
      <c r="P15" s="6" t="s">
        <v>65</v>
      </c>
      <c r="Q15" s="10"/>
      <c r="R15" s="6" t="s">
        <v>36</v>
      </c>
      <c r="S15" s="6" t="s">
        <v>36</v>
      </c>
      <c r="T15" s="5"/>
      <c r="U15" s="5" t="s">
        <v>166</v>
      </c>
      <c r="V15" s="5" t="s">
        <v>179</v>
      </c>
      <c r="W15" s="9"/>
    </row>
    <row r="16" spans="1:38">
      <c r="A16" s="5">
        <v>2025</v>
      </c>
      <c r="B16" s="6" t="s">
        <v>180</v>
      </c>
      <c r="C16" s="5" t="s">
        <v>181</v>
      </c>
      <c r="D16" s="5" t="s">
        <v>182</v>
      </c>
      <c r="E16" s="5" t="s">
        <v>183</v>
      </c>
      <c r="F16" s="5" t="s">
        <v>184</v>
      </c>
      <c r="G16" s="7" t="s">
        <v>185</v>
      </c>
      <c r="H16" s="5" t="s">
        <v>74</v>
      </c>
      <c r="I16" s="5">
        <v>5400020250017</v>
      </c>
      <c r="J16" s="6" t="s">
        <v>186</v>
      </c>
      <c r="K16" s="8">
        <v>46021</v>
      </c>
      <c r="L16" s="8">
        <v>46741</v>
      </c>
      <c r="M16" s="10">
        <v>450000</v>
      </c>
      <c r="N16" s="10">
        <v>452000</v>
      </c>
      <c r="O16" s="10">
        <v>450000</v>
      </c>
      <c r="P16" s="6" t="s">
        <v>65</v>
      </c>
      <c r="Q16" s="10"/>
      <c r="R16" s="6" t="s">
        <v>36</v>
      </c>
      <c r="S16" s="6" t="s">
        <v>36</v>
      </c>
      <c r="T16" s="5" t="s">
        <v>187</v>
      </c>
      <c r="U16" s="5" t="s">
        <v>188</v>
      </c>
      <c r="V16" s="5" t="s">
        <v>189</v>
      </c>
      <c r="W16" s="9"/>
    </row>
    <row r="17" spans="1:23">
      <c r="A17" s="5">
        <v>2025</v>
      </c>
      <c r="B17" s="6" t="s">
        <v>190</v>
      </c>
      <c r="C17" s="5" t="s">
        <v>29</v>
      </c>
      <c r="D17" s="5" t="s">
        <v>191</v>
      </c>
      <c r="E17" s="5" t="s">
        <v>192</v>
      </c>
      <c r="F17" s="5" t="s">
        <v>193</v>
      </c>
      <c r="G17" s="7" t="s">
        <v>195</v>
      </c>
      <c r="H17" s="5" t="s">
        <v>74</v>
      </c>
      <c r="I17" s="5">
        <v>5400020250017</v>
      </c>
      <c r="J17" s="6" t="s">
        <v>197</v>
      </c>
      <c r="K17" s="8">
        <v>46007</v>
      </c>
      <c r="L17" s="8">
        <v>46737</v>
      </c>
      <c r="M17" s="10">
        <v>400000</v>
      </c>
      <c r="N17" s="10">
        <v>401000</v>
      </c>
      <c r="O17" s="10">
        <v>400000</v>
      </c>
      <c r="P17" s="6" t="s">
        <v>65</v>
      </c>
      <c r="Q17" s="10"/>
      <c r="R17" s="6" t="s">
        <v>36</v>
      </c>
      <c r="S17" s="6" t="s">
        <v>36</v>
      </c>
      <c r="T17" s="5"/>
      <c r="U17" s="5" t="s">
        <v>199</v>
      </c>
      <c r="V17" s="5" t="s">
        <v>200</v>
      </c>
      <c r="W17" s="9"/>
    </row>
    <row r="18" spans="1:23">
      <c r="A18" s="5">
        <v>2025</v>
      </c>
      <c r="B18" s="6" t="s">
        <v>201</v>
      </c>
      <c r="C18" s="5" t="s">
        <v>114</v>
      </c>
      <c r="D18" s="5" t="s">
        <v>202</v>
      </c>
      <c r="E18" s="5" t="s">
        <v>203</v>
      </c>
      <c r="F18" s="5" t="s">
        <v>205</v>
      </c>
      <c r="G18" s="7" t="s">
        <v>207</v>
      </c>
      <c r="H18" s="5" t="s">
        <v>74</v>
      </c>
      <c r="I18" s="5">
        <v>5400020250017</v>
      </c>
      <c r="J18" s="6" t="s">
        <v>209</v>
      </c>
      <c r="K18" s="8">
        <v>46020</v>
      </c>
      <c r="L18" s="9">
        <v>46507</v>
      </c>
      <c r="M18" s="10">
        <v>800000</v>
      </c>
      <c r="N18" s="10">
        <v>808000</v>
      </c>
      <c r="O18" s="10">
        <v>800000</v>
      </c>
      <c r="P18" s="6" t="s">
        <v>65</v>
      </c>
      <c r="Q18" s="10"/>
      <c r="R18" s="6" t="s">
        <v>65</v>
      </c>
      <c r="S18" s="6" t="s">
        <v>65</v>
      </c>
      <c r="T18" s="5" t="s">
        <v>130</v>
      </c>
      <c r="U18" s="5" t="s">
        <v>215</v>
      </c>
      <c r="V18" s="5" t="s">
        <v>216</v>
      </c>
      <c r="W18" s="9"/>
    </row>
    <row r="19" spans="1:23">
      <c r="A19" s="5">
        <v>2025</v>
      </c>
      <c r="B19" s="6" t="s">
        <v>217</v>
      </c>
      <c r="C19" s="5" t="s">
        <v>48</v>
      </c>
      <c r="D19" s="5" t="s">
        <v>218</v>
      </c>
      <c r="E19" s="5" t="s">
        <v>219</v>
      </c>
      <c r="F19" s="5" t="s">
        <v>220</v>
      </c>
      <c r="G19" s="7" t="s">
        <v>221</v>
      </c>
      <c r="H19" s="5" t="s">
        <v>74</v>
      </c>
      <c r="I19" s="5">
        <v>5400020250017</v>
      </c>
      <c r="J19" s="6" t="s">
        <v>53</v>
      </c>
      <c r="K19" s="8">
        <v>46007</v>
      </c>
      <c r="L19" s="8">
        <v>46737</v>
      </c>
      <c r="M19" s="10">
        <v>450000</v>
      </c>
      <c r="N19" s="10">
        <v>451000</v>
      </c>
      <c r="O19" s="10">
        <v>450000</v>
      </c>
      <c r="P19" s="6" t="s">
        <v>65</v>
      </c>
      <c r="Q19" s="10"/>
      <c r="R19" s="6" t="s">
        <v>36</v>
      </c>
      <c r="S19" s="6" t="s">
        <v>36</v>
      </c>
      <c r="T19" s="5"/>
      <c r="U19" s="5" t="s">
        <v>222</v>
      </c>
      <c r="V19" s="5" t="s">
        <v>225</v>
      </c>
      <c r="W19" s="9"/>
    </row>
    <row r="20" spans="1:23">
      <c r="A20" s="5">
        <v>2025</v>
      </c>
      <c r="B20" s="6" t="s">
        <v>226</v>
      </c>
      <c r="C20" s="5" t="s">
        <v>228</v>
      </c>
      <c r="D20" s="5" t="s">
        <v>229</v>
      </c>
      <c r="E20" s="5" t="s">
        <v>230</v>
      </c>
      <c r="F20" s="5" t="s">
        <v>232</v>
      </c>
      <c r="G20" s="7" t="s">
        <v>234</v>
      </c>
      <c r="H20" s="5" t="s">
        <v>74</v>
      </c>
      <c r="I20" s="5">
        <v>5400020250017</v>
      </c>
      <c r="J20" s="6" t="s">
        <v>237</v>
      </c>
      <c r="K20" s="8">
        <v>46020</v>
      </c>
      <c r="L20" s="9">
        <v>46510</v>
      </c>
      <c r="M20" s="10">
        <v>1500000</v>
      </c>
      <c r="N20" s="10">
        <v>1612903.23</v>
      </c>
      <c r="O20" s="10">
        <v>1500000</v>
      </c>
      <c r="P20" s="6" t="s">
        <v>65</v>
      </c>
      <c r="Q20" s="10"/>
      <c r="R20" s="6" t="s">
        <v>36</v>
      </c>
      <c r="S20" s="6" t="s">
        <v>36</v>
      </c>
      <c r="T20" s="5"/>
      <c r="U20" s="5" t="s">
        <v>239</v>
      </c>
      <c r="V20" s="5" t="s">
        <v>240</v>
      </c>
      <c r="W20" s="9"/>
    </row>
    <row r="21" spans="1:23">
      <c r="A21" s="5">
        <v>2025</v>
      </c>
      <c r="B21" s="6" t="s">
        <v>226</v>
      </c>
      <c r="C21" s="5" t="s">
        <v>228</v>
      </c>
      <c r="D21" s="5" t="s">
        <v>241</v>
      </c>
      <c r="E21" s="5" t="s">
        <v>242</v>
      </c>
      <c r="F21" s="5" t="s">
        <v>243</v>
      </c>
      <c r="G21" s="7" t="s">
        <v>244</v>
      </c>
      <c r="H21" s="5" t="s">
        <v>74</v>
      </c>
      <c r="I21" s="5">
        <v>5400020250017</v>
      </c>
      <c r="J21" s="6" t="s">
        <v>237</v>
      </c>
      <c r="K21" s="8">
        <v>46010</v>
      </c>
      <c r="L21" s="9">
        <v>46507</v>
      </c>
      <c r="M21" s="10">
        <v>450000</v>
      </c>
      <c r="N21" s="10">
        <v>451681.86</v>
      </c>
      <c r="O21" s="10">
        <v>450000</v>
      </c>
      <c r="P21" s="6" t="s">
        <v>65</v>
      </c>
      <c r="Q21" s="10"/>
      <c r="R21" s="6" t="s">
        <v>36</v>
      </c>
      <c r="S21" s="6" t="s">
        <v>36</v>
      </c>
      <c r="T21" s="5" t="s">
        <v>248</v>
      </c>
      <c r="U21" s="5" t="s">
        <v>250</v>
      </c>
      <c r="V21" s="5" t="s">
        <v>240</v>
      </c>
      <c r="W21" s="9"/>
    </row>
    <row r="22" spans="1:23">
      <c r="A22" s="5">
        <v>2025</v>
      </c>
      <c r="B22" s="6" t="s">
        <v>253</v>
      </c>
      <c r="C22" s="5" t="s">
        <v>254</v>
      </c>
      <c r="D22" s="5" t="s">
        <v>255</v>
      </c>
      <c r="E22" s="5" t="s">
        <v>256</v>
      </c>
      <c r="F22" s="5" t="s">
        <v>257</v>
      </c>
      <c r="G22" s="7" t="s">
        <v>109</v>
      </c>
      <c r="H22" s="5" t="s">
        <v>74</v>
      </c>
      <c r="I22" s="5">
        <v>5400020250017</v>
      </c>
      <c r="J22" s="6" t="s">
        <v>75</v>
      </c>
      <c r="K22" s="8">
        <v>46007</v>
      </c>
      <c r="L22" s="9">
        <v>47015</v>
      </c>
      <c r="M22" s="10">
        <v>370000</v>
      </c>
      <c r="N22" s="10">
        <v>379820</v>
      </c>
      <c r="O22" s="10">
        <v>370000</v>
      </c>
      <c r="P22" s="6" t="s">
        <v>65</v>
      </c>
      <c r="Q22" s="10"/>
      <c r="R22" s="6" t="s">
        <v>36</v>
      </c>
      <c r="S22" s="6" t="s">
        <v>36</v>
      </c>
      <c r="T22" s="5" t="s">
        <v>259</v>
      </c>
      <c r="U22" s="5" t="s">
        <v>261</v>
      </c>
      <c r="V22" s="5" t="s">
        <v>263</v>
      </c>
      <c r="W22" s="9"/>
    </row>
    <row r="23" spans="1:23">
      <c r="A23" s="5">
        <v>2025</v>
      </c>
      <c r="B23" s="6" t="s">
        <v>266</v>
      </c>
      <c r="C23" s="5" t="s">
        <v>136</v>
      </c>
      <c r="D23" s="5" t="s">
        <v>268</v>
      </c>
      <c r="E23" s="5" t="s">
        <v>270</v>
      </c>
      <c r="F23" s="5" t="s">
        <v>271</v>
      </c>
      <c r="G23" s="7" t="s">
        <v>273</v>
      </c>
      <c r="H23" s="5" t="s">
        <v>74</v>
      </c>
      <c r="I23" s="5">
        <v>5400020250017</v>
      </c>
      <c r="J23" s="6" t="s">
        <v>145</v>
      </c>
      <c r="K23" s="8">
        <v>46020</v>
      </c>
      <c r="L23" s="8">
        <v>46741</v>
      </c>
      <c r="M23" s="10">
        <v>500000</v>
      </c>
      <c r="N23" s="10">
        <v>505000</v>
      </c>
      <c r="O23" s="10">
        <v>500000</v>
      </c>
      <c r="P23" s="6" t="s">
        <v>65</v>
      </c>
      <c r="Q23" s="10"/>
      <c r="R23" s="6" t="s">
        <v>36</v>
      </c>
      <c r="S23" s="6" t="s">
        <v>36</v>
      </c>
      <c r="T23" s="5"/>
      <c r="U23" s="5" t="s">
        <v>148</v>
      </c>
      <c r="V23" s="5" t="s">
        <v>149</v>
      </c>
      <c r="W23" s="9"/>
    </row>
    <row r="24" spans="1:23">
      <c r="A24" s="5">
        <v>2025</v>
      </c>
      <c r="B24" s="6" t="s">
        <v>56</v>
      </c>
      <c r="C24" s="5" t="s">
        <v>58</v>
      </c>
      <c r="D24" s="5" t="s">
        <v>278</v>
      </c>
      <c r="E24" s="5" t="s">
        <v>280</v>
      </c>
      <c r="F24" s="5" t="s">
        <v>281</v>
      </c>
      <c r="G24" s="7" t="s">
        <v>282</v>
      </c>
      <c r="H24" s="5" t="s">
        <v>74</v>
      </c>
      <c r="I24" s="5">
        <v>5400020250017</v>
      </c>
      <c r="J24" s="6" t="s">
        <v>99</v>
      </c>
      <c r="K24" s="8">
        <v>46020</v>
      </c>
      <c r="L24" s="9">
        <v>46483</v>
      </c>
      <c r="M24" s="10">
        <v>2600000</v>
      </c>
      <c r="N24" s="10">
        <v>2630400</v>
      </c>
      <c r="O24" s="10">
        <v>2600000</v>
      </c>
      <c r="P24" s="6" t="s">
        <v>36</v>
      </c>
      <c r="Q24" s="10">
        <v>2600000</v>
      </c>
      <c r="R24" s="6" t="s">
        <v>36</v>
      </c>
      <c r="S24" s="6" t="s">
        <v>36</v>
      </c>
      <c r="T24" s="5"/>
      <c r="U24" s="5" t="s">
        <v>67</v>
      </c>
      <c r="V24" s="5" t="s">
        <v>68</v>
      </c>
      <c r="W24" s="9">
        <v>46206</v>
      </c>
    </row>
    <row r="25" spans="1:23">
      <c r="A25" s="5">
        <v>2025</v>
      </c>
      <c r="B25" s="6" t="s">
        <v>274</v>
      </c>
      <c r="C25" s="5" t="s">
        <v>181</v>
      </c>
      <c r="D25" s="5" t="s">
        <v>276</v>
      </c>
      <c r="E25" s="5" t="s">
        <v>284</v>
      </c>
      <c r="F25" s="5" t="s">
        <v>286</v>
      </c>
      <c r="G25" s="7" t="s">
        <v>288</v>
      </c>
      <c r="H25" s="5" t="s">
        <v>74</v>
      </c>
      <c r="I25" s="5">
        <v>5400020250017</v>
      </c>
      <c r="J25" s="6" t="s">
        <v>289</v>
      </c>
      <c r="K25" s="8">
        <v>46007</v>
      </c>
      <c r="L25" s="9">
        <v>46504</v>
      </c>
      <c r="M25" s="10">
        <v>450000</v>
      </c>
      <c r="N25" s="10">
        <v>450500</v>
      </c>
      <c r="O25" s="10">
        <v>450000</v>
      </c>
      <c r="P25" s="6" t="s">
        <v>65</v>
      </c>
      <c r="Q25" s="10"/>
      <c r="R25" s="6" t="s">
        <v>36</v>
      </c>
      <c r="S25" s="6" t="s">
        <v>36</v>
      </c>
      <c r="T25" s="5"/>
      <c r="U25" s="5" t="s">
        <v>292</v>
      </c>
      <c r="V25" s="5" t="s">
        <v>294</v>
      </c>
      <c r="W25" s="9"/>
    </row>
    <row r="26" spans="1:23">
      <c r="A26" s="5">
        <v>2025</v>
      </c>
      <c r="B26" s="6" t="s">
        <v>296</v>
      </c>
      <c r="C26" s="5" t="s">
        <v>136</v>
      </c>
      <c r="D26" s="5" t="s">
        <v>297</v>
      </c>
      <c r="E26" s="5" t="s">
        <v>298</v>
      </c>
      <c r="F26" s="5" t="s">
        <v>299</v>
      </c>
      <c r="G26" s="7" t="s">
        <v>300</v>
      </c>
      <c r="H26" s="5" t="s">
        <v>74</v>
      </c>
      <c r="I26" s="5">
        <v>5400020250017</v>
      </c>
      <c r="J26" s="6" t="s">
        <v>145</v>
      </c>
      <c r="K26" s="8">
        <v>46021</v>
      </c>
      <c r="L26" s="9">
        <v>46507</v>
      </c>
      <c r="M26" s="10">
        <v>500000</v>
      </c>
      <c r="N26" s="10">
        <v>505000</v>
      </c>
      <c r="O26" s="10">
        <v>500000</v>
      </c>
      <c r="P26" s="6" t="s">
        <v>65</v>
      </c>
      <c r="Q26" s="10"/>
      <c r="R26" s="6" t="s">
        <v>36</v>
      </c>
      <c r="S26" s="6" t="s">
        <v>36</v>
      </c>
      <c r="T26" s="5"/>
      <c r="U26" s="5" t="s">
        <v>148</v>
      </c>
      <c r="V26" s="5" t="s">
        <v>149</v>
      </c>
      <c r="W26" s="9"/>
    </row>
    <row r="27" spans="1:23">
      <c r="A27" s="5">
        <v>2025</v>
      </c>
      <c r="B27" s="6" t="s">
        <v>293</v>
      </c>
      <c r="C27" s="5" t="s">
        <v>136</v>
      </c>
      <c r="D27" s="5" t="s">
        <v>295</v>
      </c>
      <c r="E27" s="5" t="s">
        <v>301</v>
      </c>
      <c r="F27" s="5" t="s">
        <v>303</v>
      </c>
      <c r="G27" s="7" t="s">
        <v>305</v>
      </c>
      <c r="H27" s="5" t="s">
        <v>74</v>
      </c>
      <c r="I27" s="5">
        <v>5400020250017</v>
      </c>
      <c r="J27" s="6" t="s">
        <v>307</v>
      </c>
      <c r="K27" s="8">
        <v>46015</v>
      </c>
      <c r="L27" s="8">
        <v>46745</v>
      </c>
      <c r="M27" s="10">
        <v>10000000</v>
      </c>
      <c r="N27" s="10">
        <v>10030000</v>
      </c>
      <c r="O27" s="10">
        <v>10000000</v>
      </c>
      <c r="P27" s="6" t="s">
        <v>65</v>
      </c>
      <c r="Q27" s="10"/>
      <c r="R27" s="6" t="s">
        <v>36</v>
      </c>
      <c r="S27" s="6" t="s">
        <v>36</v>
      </c>
      <c r="T27" s="5"/>
      <c r="U27" s="5" t="s">
        <v>314</v>
      </c>
      <c r="V27" s="5" t="s">
        <v>315</v>
      </c>
      <c r="W27" s="9"/>
    </row>
    <row r="28" spans="1:23">
      <c r="A28" s="5">
        <v>2025</v>
      </c>
      <c r="B28" s="6" t="s">
        <v>316</v>
      </c>
      <c r="C28" s="5" t="s">
        <v>58</v>
      </c>
      <c r="D28" s="5" t="s">
        <v>317</v>
      </c>
      <c r="E28" s="5" t="s">
        <v>318</v>
      </c>
      <c r="F28" s="5" t="s">
        <v>319</v>
      </c>
      <c r="G28" s="7" t="s">
        <v>109</v>
      </c>
      <c r="H28" s="5" t="s">
        <v>74</v>
      </c>
      <c r="I28" s="5">
        <v>5400020250017</v>
      </c>
      <c r="J28" s="6" t="s">
        <v>320</v>
      </c>
      <c r="K28" s="8">
        <v>46008</v>
      </c>
      <c r="L28" s="8">
        <v>46738</v>
      </c>
      <c r="M28" s="10">
        <v>1500000</v>
      </c>
      <c r="N28" s="10">
        <v>1502000</v>
      </c>
      <c r="O28" s="10">
        <v>1500000</v>
      </c>
      <c r="P28" s="6" t="s">
        <v>36</v>
      </c>
      <c r="Q28" s="10">
        <v>1500000</v>
      </c>
      <c r="R28" s="6" t="s">
        <v>36</v>
      </c>
      <c r="S28" s="6" t="s">
        <v>36</v>
      </c>
      <c r="T28" s="5" t="s">
        <v>329</v>
      </c>
      <c r="U28" s="5" t="s">
        <v>331</v>
      </c>
      <c r="V28" s="5" t="s">
        <v>334</v>
      </c>
      <c r="W28" s="9">
        <v>46204</v>
      </c>
    </row>
    <row r="29" spans="1:23">
      <c r="A29" s="5">
        <v>2025</v>
      </c>
      <c r="B29" s="19" t="s">
        <v>322</v>
      </c>
      <c r="C29" s="5" t="s">
        <v>337</v>
      </c>
      <c r="D29" s="5" t="s">
        <v>323</v>
      </c>
      <c r="E29" s="5" t="s">
        <v>340</v>
      </c>
      <c r="F29" s="5" t="s">
        <v>341</v>
      </c>
      <c r="G29" s="7" t="s">
        <v>343</v>
      </c>
      <c r="H29" s="5" t="s">
        <v>74</v>
      </c>
      <c r="I29" s="5">
        <v>5400020250017</v>
      </c>
      <c r="J29" s="6" t="s">
        <v>346</v>
      </c>
      <c r="K29" s="8">
        <v>46015</v>
      </c>
      <c r="L29" s="9">
        <v>47026</v>
      </c>
      <c r="M29" s="10">
        <v>1700000</v>
      </c>
      <c r="N29" s="10">
        <v>1734000</v>
      </c>
      <c r="O29" s="10">
        <v>1700000</v>
      </c>
      <c r="P29" s="6" t="s">
        <v>65</v>
      </c>
      <c r="Q29" s="10"/>
      <c r="R29" s="6" t="s">
        <v>65</v>
      </c>
      <c r="S29" s="6" t="s">
        <v>65</v>
      </c>
      <c r="T29" s="5" t="s">
        <v>332</v>
      </c>
      <c r="U29" s="5" t="s">
        <v>348</v>
      </c>
      <c r="V29" s="5" t="s">
        <v>350</v>
      </c>
      <c r="W29" s="9"/>
    </row>
    <row r="30" spans="1:23">
      <c r="A30" s="5">
        <v>2025</v>
      </c>
      <c r="B30" s="6" t="s">
        <v>351</v>
      </c>
      <c r="C30" s="5" t="s">
        <v>29</v>
      </c>
      <c r="D30" s="5" t="s">
        <v>352</v>
      </c>
      <c r="E30" s="5" t="s">
        <v>353</v>
      </c>
      <c r="F30" s="5" t="s">
        <v>354</v>
      </c>
      <c r="G30" s="7" t="s">
        <v>355</v>
      </c>
      <c r="H30" s="5" t="s">
        <v>34</v>
      </c>
      <c r="I30" s="5">
        <v>5400020250019</v>
      </c>
      <c r="J30" s="6" t="s">
        <v>44</v>
      </c>
      <c r="K30" s="9">
        <v>45962</v>
      </c>
      <c r="L30" s="8">
        <v>46721</v>
      </c>
      <c r="M30" s="10">
        <v>500000</v>
      </c>
      <c r="N30" s="10">
        <v>500000</v>
      </c>
      <c r="O30" s="10">
        <v>500000</v>
      </c>
      <c r="P30" s="6" t="s">
        <v>36</v>
      </c>
      <c r="Q30" s="10">
        <v>500000</v>
      </c>
      <c r="R30" s="6" t="s">
        <v>36</v>
      </c>
      <c r="S30" s="6" t="s">
        <v>36</v>
      </c>
      <c r="T30" s="5"/>
      <c r="U30" s="5" t="s">
        <v>356</v>
      </c>
      <c r="V30" s="5" t="s">
        <v>46</v>
      </c>
      <c r="W30" s="9">
        <v>46097</v>
      </c>
    </row>
    <row r="31" spans="1:23">
      <c r="A31" s="5">
        <v>2026</v>
      </c>
      <c r="B31" s="6" t="s">
        <v>357</v>
      </c>
      <c r="C31" s="5" t="s">
        <v>228</v>
      </c>
      <c r="D31" s="5" t="s">
        <v>358</v>
      </c>
      <c r="E31" s="5" t="s">
        <v>359</v>
      </c>
      <c r="F31" s="5" t="s">
        <v>360</v>
      </c>
      <c r="G31" s="7" t="s">
        <v>361</v>
      </c>
      <c r="H31" s="5" t="s">
        <v>63</v>
      </c>
      <c r="I31" s="5">
        <v>5400020260018</v>
      </c>
      <c r="J31" s="6" t="s">
        <v>64</v>
      </c>
      <c r="K31" s="9">
        <v>46206</v>
      </c>
      <c r="L31" s="9">
        <v>46571</v>
      </c>
      <c r="M31" s="10">
        <v>500000</v>
      </c>
      <c r="N31" s="10">
        <v>505000</v>
      </c>
      <c r="O31" s="10">
        <v>500000</v>
      </c>
      <c r="P31" s="6" t="s">
        <v>65</v>
      </c>
      <c r="Q31" s="10"/>
      <c r="R31" s="5" t="s">
        <v>362</v>
      </c>
      <c r="S31" s="5" t="s">
        <v>362</v>
      </c>
      <c r="T31" s="5" t="s">
        <v>363</v>
      </c>
      <c r="U31" s="5" t="s">
        <v>364</v>
      </c>
      <c r="V31" s="5" t="s">
        <v>365</v>
      </c>
      <c r="W31" s="9"/>
    </row>
    <row r="32" spans="1:23">
      <c r="A32" s="5">
        <v>2026</v>
      </c>
      <c r="B32" s="6" t="s">
        <v>366</v>
      </c>
      <c r="C32" s="5" t="s">
        <v>228</v>
      </c>
      <c r="D32" s="5" t="s">
        <v>367</v>
      </c>
      <c r="E32" s="5" t="s">
        <v>368</v>
      </c>
      <c r="F32" s="5" t="s">
        <v>369</v>
      </c>
      <c r="G32" s="7" t="s">
        <v>109</v>
      </c>
      <c r="H32" s="5" t="s">
        <v>63</v>
      </c>
      <c r="I32" s="5">
        <v>5400020260018</v>
      </c>
      <c r="J32" s="6" t="s">
        <v>64</v>
      </c>
      <c r="K32" s="9">
        <v>46206</v>
      </c>
      <c r="L32" s="9">
        <v>46571</v>
      </c>
      <c r="M32" s="10">
        <v>500000</v>
      </c>
      <c r="N32" s="10">
        <v>505000</v>
      </c>
      <c r="O32" s="10">
        <v>500000</v>
      </c>
      <c r="P32" s="6" t="s">
        <v>65</v>
      </c>
      <c r="Q32" s="10"/>
      <c r="R32" s="5" t="s">
        <v>362</v>
      </c>
      <c r="S32" s="5" t="s">
        <v>362</v>
      </c>
      <c r="T32" s="5" t="s">
        <v>363</v>
      </c>
      <c r="U32" s="5" t="s">
        <v>370</v>
      </c>
      <c r="V32" s="5" t="s">
        <v>371</v>
      </c>
      <c r="W32" s="9"/>
    </row>
    <row r="33" spans="1:23">
      <c r="A33" s="5">
        <v>2026</v>
      </c>
      <c r="B33" s="6" t="s">
        <v>372</v>
      </c>
      <c r="C33" s="5" t="s">
        <v>105</v>
      </c>
      <c r="D33" s="5" t="s">
        <v>373</v>
      </c>
      <c r="E33" s="5" t="s">
        <v>374</v>
      </c>
      <c r="F33" s="5" t="s">
        <v>375</v>
      </c>
      <c r="G33" s="7" t="s">
        <v>376</v>
      </c>
      <c r="H33" s="5" t="s">
        <v>63</v>
      </c>
      <c r="I33" s="5">
        <v>5400020260018</v>
      </c>
      <c r="J33" s="6" t="s">
        <v>64</v>
      </c>
      <c r="K33" s="9">
        <v>46188</v>
      </c>
      <c r="L33" s="9">
        <v>46553</v>
      </c>
      <c r="M33" s="10">
        <v>1000000</v>
      </c>
      <c r="N33" s="10">
        <v>1010000</v>
      </c>
      <c r="O33" s="10">
        <v>1000000</v>
      </c>
      <c r="P33" s="6" t="s">
        <v>65</v>
      </c>
      <c r="Q33" s="10"/>
      <c r="R33" s="5" t="s">
        <v>362</v>
      </c>
      <c r="S33" s="5" t="s">
        <v>362</v>
      </c>
      <c r="T33" s="5" t="s">
        <v>377</v>
      </c>
      <c r="U33" s="5" t="s">
        <v>378</v>
      </c>
      <c r="V33" s="5" t="s">
        <v>379</v>
      </c>
      <c r="W33" s="9"/>
    </row>
    <row r="34" spans="1:23">
      <c r="A34" s="5">
        <v>2026</v>
      </c>
      <c r="B34" s="6" t="s">
        <v>380</v>
      </c>
      <c r="C34" s="5" t="s">
        <v>160</v>
      </c>
      <c r="D34" s="5" t="s">
        <v>381</v>
      </c>
      <c r="E34" s="5" t="s">
        <v>382</v>
      </c>
      <c r="F34" s="5" t="s">
        <v>383</v>
      </c>
      <c r="G34" s="7" t="s">
        <v>384</v>
      </c>
      <c r="H34" s="5" t="s">
        <v>63</v>
      </c>
      <c r="I34" s="5">
        <v>5400020260018</v>
      </c>
      <c r="J34" s="6" t="s">
        <v>64</v>
      </c>
      <c r="K34" s="8">
        <v>46366</v>
      </c>
      <c r="L34" s="8">
        <v>46731</v>
      </c>
      <c r="M34" s="10">
        <v>1000000</v>
      </c>
      <c r="N34" s="10">
        <v>1010000</v>
      </c>
      <c r="O34" s="10">
        <v>1000000</v>
      </c>
      <c r="P34" s="6" t="s">
        <v>65</v>
      </c>
      <c r="Q34" s="10"/>
      <c r="R34" s="21" t="s">
        <v>385</v>
      </c>
      <c r="S34" s="21" t="s">
        <v>385</v>
      </c>
      <c r="T34" s="5" t="s">
        <v>386</v>
      </c>
      <c r="U34" s="5" t="s">
        <v>387</v>
      </c>
      <c r="V34" s="5" t="s">
        <v>388</v>
      </c>
      <c r="W34" s="9"/>
    </row>
    <row r="35" spans="1:23">
      <c r="A35" s="5">
        <v>2026</v>
      </c>
      <c r="B35" s="6" t="s">
        <v>351</v>
      </c>
      <c r="C35" s="5" t="s">
        <v>29</v>
      </c>
      <c r="D35" s="5" t="s">
        <v>389</v>
      </c>
      <c r="E35" s="5" t="s">
        <v>390</v>
      </c>
      <c r="F35" s="5" t="s">
        <v>391</v>
      </c>
      <c r="G35" s="7" t="s">
        <v>392</v>
      </c>
      <c r="H35" s="5" t="s">
        <v>34</v>
      </c>
      <c r="I35" s="5">
        <v>5400020260017</v>
      </c>
      <c r="J35" s="6" t="s">
        <v>44</v>
      </c>
      <c r="K35" s="9">
        <v>46357</v>
      </c>
      <c r="L35" s="8">
        <v>46721</v>
      </c>
      <c r="M35" s="10">
        <v>500000</v>
      </c>
      <c r="N35" s="10">
        <v>525000</v>
      </c>
      <c r="O35" s="10">
        <v>500000</v>
      </c>
      <c r="P35" s="6" t="s">
        <v>65</v>
      </c>
      <c r="Q35" s="10"/>
      <c r="R35" s="21" t="s">
        <v>385</v>
      </c>
      <c r="S35" s="21" t="s">
        <v>385</v>
      </c>
      <c r="T35" s="5"/>
      <c r="U35" s="5" t="s">
        <v>356</v>
      </c>
      <c r="V35" s="5" t="s">
        <v>46</v>
      </c>
      <c r="W35" s="9"/>
    </row>
    <row r="36" spans="1:23">
      <c r="A36" s="5">
        <v>2026</v>
      </c>
      <c r="B36" s="6" t="s">
        <v>393</v>
      </c>
      <c r="C36" s="5" t="s">
        <v>29</v>
      </c>
      <c r="D36" s="5" t="s">
        <v>394</v>
      </c>
      <c r="E36" s="5" t="s">
        <v>395</v>
      </c>
      <c r="F36" s="5" t="s">
        <v>396</v>
      </c>
      <c r="G36" s="7" t="s">
        <v>397</v>
      </c>
      <c r="H36" s="5" t="s">
        <v>63</v>
      </c>
      <c r="I36" s="5">
        <v>5400020260018</v>
      </c>
      <c r="J36" s="6" t="s">
        <v>64</v>
      </c>
      <c r="K36" s="9">
        <v>46237</v>
      </c>
      <c r="L36" s="9">
        <v>46995</v>
      </c>
      <c r="M36" s="10">
        <v>250000</v>
      </c>
      <c r="N36" s="10">
        <v>263618.48</v>
      </c>
      <c r="O36" s="10"/>
      <c r="P36" s="6" t="s">
        <v>65</v>
      </c>
      <c r="Q36" s="10"/>
      <c r="R36" s="21" t="s">
        <v>385</v>
      </c>
      <c r="S36" s="21" t="s">
        <v>385</v>
      </c>
      <c r="T36" s="5"/>
      <c r="U36" s="5" t="s">
        <v>398</v>
      </c>
      <c r="V36" s="5" t="s">
        <v>399</v>
      </c>
      <c r="W36" s="9"/>
    </row>
    <row r="37" spans="1:23">
      <c r="A37" s="5">
        <v>2026</v>
      </c>
      <c r="B37" s="6" t="s">
        <v>400</v>
      </c>
      <c r="C37" s="5" t="s">
        <v>29</v>
      </c>
      <c r="D37" s="5"/>
      <c r="E37" s="5" t="s">
        <v>401</v>
      </c>
      <c r="F37" s="5" t="s">
        <v>402</v>
      </c>
      <c r="G37" s="7"/>
      <c r="H37" s="5" t="s">
        <v>63</v>
      </c>
      <c r="I37" s="5">
        <v>5400020260018</v>
      </c>
      <c r="J37" s="6" t="s">
        <v>64</v>
      </c>
      <c r="K37" s="9">
        <v>46259</v>
      </c>
      <c r="L37" s="9">
        <v>47118</v>
      </c>
      <c r="M37" s="10">
        <v>250000</v>
      </c>
      <c r="N37" s="10">
        <v>251000</v>
      </c>
      <c r="O37" s="10"/>
      <c r="P37" s="6" t="s">
        <v>65</v>
      </c>
      <c r="Q37" s="10"/>
      <c r="R37" s="21" t="s">
        <v>403</v>
      </c>
      <c r="S37" s="21" t="s">
        <v>403</v>
      </c>
      <c r="T37" s="5" t="s">
        <v>349</v>
      </c>
      <c r="U37" s="5"/>
      <c r="V37" s="5"/>
      <c r="W37" s="9"/>
    </row>
    <row r="38" spans="1:23">
      <c r="G38" s="13"/>
      <c r="I38" s="22"/>
    </row>
    <row r="39" spans="1:23">
      <c r="G39" s="13"/>
      <c r="I39" s="22"/>
    </row>
    <row r="40" spans="1:23">
      <c r="G40" s="13"/>
      <c r="I40" s="22"/>
    </row>
    <row r="41" spans="1:23">
      <c r="G41" s="13"/>
      <c r="I41" s="22"/>
    </row>
    <row r="42" spans="1:23">
      <c r="G42" s="13"/>
      <c r="I42" s="22"/>
    </row>
    <row r="43" spans="1:23">
      <c r="G43" s="13"/>
      <c r="I43" s="22"/>
    </row>
    <row r="44" spans="1:23">
      <c r="G44" s="13"/>
      <c r="I44" s="22"/>
    </row>
    <row r="45" spans="1:23">
      <c r="G45" s="13"/>
      <c r="I45" s="22"/>
    </row>
    <row r="46" spans="1:23">
      <c r="G46" s="13"/>
      <c r="I46" s="22"/>
    </row>
    <row r="47" spans="1:23">
      <c r="F47" s="23"/>
      <c r="G47" s="13"/>
      <c r="I47" s="22"/>
    </row>
    <row r="48" spans="1:23">
      <c r="G48" s="13"/>
      <c r="I48" s="22"/>
    </row>
    <row r="49" spans="7:9">
      <c r="G49" s="13"/>
      <c r="I49" s="22"/>
    </row>
    <row r="50" spans="7:9">
      <c r="G50" s="13"/>
      <c r="I50" s="22"/>
    </row>
    <row r="51" spans="7:9">
      <c r="G51" s="13"/>
      <c r="I51" s="22"/>
    </row>
    <row r="52" spans="7:9">
      <c r="G52" s="13"/>
      <c r="I52" s="22"/>
    </row>
    <row r="53" spans="7:9">
      <c r="G53" s="13"/>
      <c r="I53" s="22"/>
    </row>
    <row r="54" spans="7:9">
      <c r="G54" s="13"/>
      <c r="I54" s="22"/>
    </row>
    <row r="55" spans="7:9">
      <c r="G55" s="13"/>
      <c r="I55" s="22"/>
    </row>
    <row r="56" spans="7:9">
      <c r="G56" s="13"/>
      <c r="I56" s="22"/>
    </row>
    <row r="57" spans="7:9">
      <c r="G57" s="13"/>
      <c r="I57" s="22"/>
    </row>
    <row r="58" spans="7:9">
      <c r="G58" s="13"/>
      <c r="I58" s="22"/>
    </row>
    <row r="59" spans="7:9">
      <c r="G59" s="13"/>
      <c r="I59" s="22"/>
    </row>
    <row r="60" spans="7:9">
      <c r="G60" s="13"/>
      <c r="I60" s="22"/>
    </row>
    <row r="61" spans="7:9">
      <c r="G61" s="13"/>
      <c r="I61" s="22"/>
    </row>
    <row r="62" spans="7:9">
      <c r="G62" s="13"/>
      <c r="I62" s="22"/>
    </row>
    <row r="63" spans="7:9">
      <c r="G63" s="13"/>
      <c r="I63" s="22"/>
    </row>
    <row r="64" spans="7:9">
      <c r="G64" s="13"/>
      <c r="I64" s="22"/>
    </row>
    <row r="65" spans="7:9">
      <c r="G65" s="13"/>
      <c r="I65" s="22"/>
    </row>
    <row r="66" spans="7:9">
      <c r="G66" s="13"/>
      <c r="I66" s="22"/>
    </row>
    <row r="67" spans="7:9">
      <c r="G67" s="13"/>
      <c r="I67" s="22"/>
    </row>
    <row r="68" spans="7:9">
      <c r="G68" s="13"/>
      <c r="I68" s="22"/>
    </row>
    <row r="69" spans="7:9">
      <c r="G69" s="13"/>
      <c r="I69" s="22"/>
    </row>
    <row r="70" spans="7:9">
      <c r="G70" s="13"/>
      <c r="I70" s="22"/>
    </row>
    <row r="71" spans="7:9">
      <c r="G71" s="13"/>
      <c r="I71" s="22"/>
    </row>
    <row r="72" spans="7:9">
      <c r="G72" s="13"/>
      <c r="I72" s="22"/>
    </row>
    <row r="73" spans="7:9">
      <c r="G73" s="13"/>
      <c r="I73" s="22"/>
    </row>
    <row r="74" spans="7:9">
      <c r="G74" s="13"/>
      <c r="I74" s="22"/>
    </row>
    <row r="75" spans="7:9">
      <c r="G75" s="13"/>
      <c r="I75" s="22"/>
    </row>
    <row r="76" spans="7:9">
      <c r="G76" s="13"/>
      <c r="I76" s="22"/>
    </row>
    <row r="77" spans="7:9">
      <c r="G77" s="13"/>
      <c r="I77" s="22"/>
    </row>
    <row r="78" spans="7:9">
      <c r="G78" s="13"/>
      <c r="I78" s="22"/>
    </row>
    <row r="79" spans="7:9">
      <c r="G79" s="13"/>
      <c r="I79" s="22"/>
    </row>
    <row r="80" spans="7:9">
      <c r="G80" s="13"/>
      <c r="I80" s="22"/>
    </row>
    <row r="81" spans="7:9">
      <c r="G81" s="13"/>
      <c r="I81" s="22"/>
    </row>
    <row r="82" spans="7:9">
      <c r="G82" s="13"/>
      <c r="I82" s="22"/>
    </row>
    <row r="83" spans="7:9">
      <c r="G83" s="13"/>
      <c r="I83" s="22"/>
    </row>
    <row r="84" spans="7:9">
      <c r="G84" s="13"/>
      <c r="I84" s="22"/>
    </row>
    <row r="85" spans="7:9">
      <c r="G85" s="13"/>
      <c r="I85" s="22"/>
    </row>
    <row r="86" spans="7:9">
      <c r="G86" s="13"/>
      <c r="I86" s="22"/>
    </row>
    <row r="87" spans="7:9">
      <c r="G87" s="13"/>
      <c r="I87" s="22"/>
    </row>
    <row r="88" spans="7:9">
      <c r="G88" s="13"/>
      <c r="I88" s="22"/>
    </row>
    <row r="89" spans="7:9">
      <c r="G89" s="13"/>
      <c r="I89" s="22"/>
    </row>
    <row r="90" spans="7:9">
      <c r="G90" s="13"/>
      <c r="I90" s="22"/>
    </row>
    <row r="91" spans="7:9">
      <c r="G91" s="13"/>
      <c r="I91" s="22"/>
    </row>
    <row r="92" spans="7:9">
      <c r="G92" s="13"/>
      <c r="I92" s="22"/>
    </row>
    <row r="93" spans="7:9">
      <c r="G93" s="13"/>
      <c r="I93" s="22"/>
    </row>
    <row r="94" spans="7:9">
      <c r="G94" s="13"/>
      <c r="I94" s="22"/>
    </row>
    <row r="95" spans="7:9">
      <c r="G95" s="13"/>
      <c r="I95" s="22"/>
    </row>
    <row r="96" spans="7:9">
      <c r="G96" s="13"/>
      <c r="I96" s="22"/>
    </row>
    <row r="97" spans="7:9">
      <c r="G97" s="13"/>
      <c r="I97" s="22"/>
    </row>
    <row r="98" spans="7:9">
      <c r="G98" s="13"/>
      <c r="I98" s="22"/>
    </row>
    <row r="99" spans="7:9">
      <c r="G99" s="13"/>
      <c r="I99" s="22"/>
    </row>
    <row r="100" spans="7:9">
      <c r="G100" s="13"/>
      <c r="I100" s="22"/>
    </row>
    <row r="101" spans="7:9">
      <c r="G101" s="13"/>
      <c r="I101" s="22"/>
    </row>
    <row r="102" spans="7:9">
      <c r="G102" s="13"/>
      <c r="I102" s="22"/>
    </row>
    <row r="103" spans="7:9">
      <c r="G103" s="13"/>
      <c r="I103" s="22"/>
    </row>
    <row r="104" spans="7:9">
      <c r="G104" s="13"/>
      <c r="I104" s="22"/>
    </row>
    <row r="105" spans="7:9">
      <c r="G105" s="13"/>
      <c r="I105" s="22"/>
    </row>
    <row r="106" spans="7:9">
      <c r="G106" s="13"/>
      <c r="I106" s="22"/>
    </row>
    <row r="107" spans="7:9">
      <c r="G107" s="13"/>
      <c r="I107" s="22"/>
    </row>
    <row r="108" spans="7:9">
      <c r="G108" s="13"/>
      <c r="I108" s="22"/>
    </row>
    <row r="109" spans="7:9">
      <c r="G109" s="13"/>
      <c r="I109" s="22"/>
    </row>
    <row r="110" spans="7:9">
      <c r="G110" s="13"/>
      <c r="I110" s="22"/>
    </row>
    <row r="111" spans="7:9">
      <c r="G111" s="13"/>
      <c r="I111" s="22"/>
    </row>
    <row r="112" spans="7:9">
      <c r="G112" s="13"/>
      <c r="I112" s="22"/>
    </row>
    <row r="113" spans="7:9">
      <c r="G113" s="13"/>
      <c r="I113" s="22"/>
    </row>
    <row r="114" spans="7:9">
      <c r="G114" s="13"/>
      <c r="I114" s="22"/>
    </row>
    <row r="115" spans="7:9">
      <c r="G115" s="13"/>
      <c r="I115" s="22"/>
    </row>
    <row r="116" spans="7:9">
      <c r="G116" s="13"/>
      <c r="I116" s="22"/>
    </row>
    <row r="117" spans="7:9">
      <c r="G117" s="13"/>
      <c r="I117" s="22"/>
    </row>
    <row r="118" spans="7:9">
      <c r="G118" s="13"/>
      <c r="I118" s="22"/>
    </row>
    <row r="119" spans="7:9">
      <c r="G119" s="13"/>
      <c r="I119" s="22"/>
    </row>
    <row r="120" spans="7:9">
      <c r="G120" s="13"/>
      <c r="I120" s="22"/>
    </row>
    <row r="121" spans="7:9">
      <c r="G121" s="13"/>
      <c r="I121" s="22"/>
    </row>
    <row r="122" spans="7:9">
      <c r="G122" s="13"/>
      <c r="I122" s="22"/>
    </row>
    <row r="123" spans="7:9">
      <c r="G123" s="13"/>
      <c r="I123" s="22"/>
    </row>
    <row r="124" spans="7:9">
      <c r="G124" s="13"/>
      <c r="I124" s="22"/>
    </row>
    <row r="125" spans="7:9">
      <c r="G125" s="13"/>
      <c r="I125" s="22"/>
    </row>
    <row r="126" spans="7:9">
      <c r="G126" s="13"/>
      <c r="I126" s="22"/>
    </row>
    <row r="127" spans="7:9">
      <c r="G127" s="13"/>
      <c r="I127" s="22"/>
    </row>
    <row r="128" spans="7:9">
      <c r="G128" s="13"/>
      <c r="I128" s="22"/>
    </row>
    <row r="129" spans="7:9">
      <c r="G129" s="13"/>
      <c r="I129" s="22"/>
    </row>
    <row r="130" spans="7:9">
      <c r="G130" s="13"/>
      <c r="I130" s="22"/>
    </row>
    <row r="131" spans="7:9">
      <c r="G131" s="13"/>
      <c r="I131" s="22"/>
    </row>
    <row r="132" spans="7:9">
      <c r="G132" s="13"/>
      <c r="I132" s="22"/>
    </row>
    <row r="133" spans="7:9">
      <c r="G133" s="13"/>
      <c r="I133" s="22"/>
    </row>
    <row r="134" spans="7:9">
      <c r="G134" s="13"/>
      <c r="I134" s="22"/>
    </row>
    <row r="135" spans="7:9">
      <c r="G135" s="13"/>
      <c r="I135" s="22"/>
    </row>
    <row r="136" spans="7:9">
      <c r="G136" s="13"/>
      <c r="I136" s="22"/>
    </row>
    <row r="137" spans="7:9">
      <c r="G137" s="13"/>
      <c r="I137" s="22"/>
    </row>
    <row r="138" spans="7:9">
      <c r="G138" s="13"/>
      <c r="I138" s="22"/>
    </row>
    <row r="139" spans="7:9">
      <c r="G139" s="13"/>
      <c r="I139" s="22"/>
    </row>
    <row r="140" spans="7:9">
      <c r="G140" s="13"/>
      <c r="I140" s="22"/>
    </row>
    <row r="141" spans="7:9">
      <c r="G141" s="13"/>
      <c r="I141" s="22"/>
    </row>
    <row r="142" spans="7:9">
      <c r="G142" s="13"/>
      <c r="I142" s="22"/>
    </row>
    <row r="143" spans="7:9">
      <c r="G143" s="13"/>
      <c r="I143" s="22"/>
    </row>
    <row r="144" spans="7:9">
      <c r="G144" s="13"/>
      <c r="I144" s="22"/>
    </row>
    <row r="145" spans="7:9">
      <c r="G145" s="13"/>
      <c r="I145" s="22"/>
    </row>
    <row r="146" spans="7:9">
      <c r="G146" s="13"/>
      <c r="I146" s="22"/>
    </row>
    <row r="147" spans="7:9">
      <c r="G147" s="13"/>
      <c r="I147" s="22"/>
    </row>
    <row r="148" spans="7:9">
      <c r="G148" s="13"/>
      <c r="I148" s="22"/>
    </row>
    <row r="149" spans="7:9">
      <c r="G149" s="13"/>
      <c r="I149" s="22"/>
    </row>
    <row r="150" spans="7:9">
      <c r="G150" s="13"/>
      <c r="I150" s="22"/>
    </row>
    <row r="151" spans="7:9">
      <c r="G151" s="13"/>
      <c r="I151" s="22"/>
    </row>
    <row r="152" spans="7:9">
      <c r="G152" s="13"/>
      <c r="I152" s="22"/>
    </row>
    <row r="153" spans="7:9">
      <c r="G153" s="13"/>
      <c r="I153" s="22"/>
    </row>
    <row r="154" spans="7:9">
      <c r="G154" s="13"/>
      <c r="I154" s="22"/>
    </row>
    <row r="155" spans="7:9">
      <c r="G155" s="13"/>
      <c r="I155" s="22"/>
    </row>
    <row r="156" spans="7:9">
      <c r="G156" s="13"/>
      <c r="I156" s="22"/>
    </row>
    <row r="157" spans="7:9">
      <c r="G157" s="13"/>
      <c r="I157" s="22"/>
    </row>
    <row r="158" spans="7:9">
      <c r="G158" s="13"/>
      <c r="I158" s="22"/>
    </row>
    <row r="159" spans="7:9">
      <c r="G159" s="13"/>
      <c r="I159" s="22"/>
    </row>
    <row r="160" spans="7:9">
      <c r="G160" s="13"/>
      <c r="I160" s="22"/>
    </row>
    <row r="161" spans="7:9">
      <c r="G161" s="13"/>
      <c r="I161" s="22"/>
    </row>
    <row r="162" spans="7:9">
      <c r="G162" s="13"/>
      <c r="I162" s="22"/>
    </row>
    <row r="163" spans="7:9">
      <c r="G163" s="13"/>
      <c r="I163" s="22"/>
    </row>
    <row r="164" spans="7:9">
      <c r="G164" s="13"/>
      <c r="I164" s="22"/>
    </row>
    <row r="165" spans="7:9">
      <c r="G165" s="13"/>
      <c r="I165" s="22"/>
    </row>
    <row r="166" spans="7:9">
      <c r="G166" s="13"/>
      <c r="I166" s="22"/>
    </row>
    <row r="167" spans="7:9">
      <c r="G167" s="13"/>
      <c r="I167" s="22"/>
    </row>
    <row r="168" spans="7:9">
      <c r="G168" s="13"/>
      <c r="I168" s="22"/>
    </row>
    <row r="169" spans="7:9">
      <c r="G169" s="13"/>
      <c r="I169" s="22"/>
    </row>
    <row r="170" spans="7:9">
      <c r="G170" s="13"/>
      <c r="I170" s="22"/>
    </row>
    <row r="171" spans="7:9">
      <c r="G171" s="13"/>
      <c r="I171" s="22"/>
    </row>
    <row r="172" spans="7:9">
      <c r="G172" s="13"/>
      <c r="I172" s="22"/>
    </row>
    <row r="173" spans="7:9">
      <c r="G173" s="13"/>
      <c r="I173" s="22"/>
    </row>
    <row r="174" spans="7:9">
      <c r="G174" s="13"/>
      <c r="I174" s="22"/>
    </row>
    <row r="175" spans="7:9">
      <c r="G175" s="13"/>
      <c r="I175" s="22"/>
    </row>
    <row r="176" spans="7:9">
      <c r="G176" s="13"/>
      <c r="I176" s="22"/>
    </row>
    <row r="177" spans="7:9">
      <c r="G177" s="13"/>
      <c r="I177" s="22"/>
    </row>
    <row r="178" spans="7:9">
      <c r="G178" s="13"/>
      <c r="I178" s="22"/>
    </row>
    <row r="179" spans="7:9">
      <c r="G179" s="13"/>
      <c r="I179" s="22"/>
    </row>
    <row r="180" spans="7:9">
      <c r="G180" s="13"/>
      <c r="I180" s="22"/>
    </row>
    <row r="181" spans="7:9">
      <c r="G181" s="13"/>
      <c r="I181" s="22"/>
    </row>
    <row r="182" spans="7:9">
      <c r="G182" s="13"/>
      <c r="I182" s="22"/>
    </row>
    <row r="183" spans="7:9">
      <c r="G183" s="13"/>
      <c r="I183" s="22"/>
    </row>
    <row r="184" spans="7:9">
      <c r="G184" s="13"/>
      <c r="I184" s="22"/>
    </row>
    <row r="185" spans="7:9">
      <c r="G185" s="13"/>
      <c r="I185" s="22"/>
    </row>
    <row r="186" spans="7:9">
      <c r="G186" s="13"/>
      <c r="I186" s="22"/>
    </row>
    <row r="187" spans="7:9">
      <c r="G187" s="13"/>
      <c r="I187" s="22"/>
    </row>
    <row r="188" spans="7:9">
      <c r="G188" s="13"/>
      <c r="I188" s="22"/>
    </row>
    <row r="189" spans="7:9">
      <c r="G189" s="13"/>
      <c r="I189" s="22"/>
    </row>
    <row r="190" spans="7:9">
      <c r="G190" s="13"/>
      <c r="I190" s="22"/>
    </row>
    <row r="191" spans="7:9">
      <c r="G191" s="13"/>
      <c r="I191" s="22"/>
    </row>
    <row r="192" spans="7:9">
      <c r="G192" s="13"/>
      <c r="I192" s="22"/>
    </row>
    <row r="193" spans="7:9">
      <c r="G193" s="13"/>
      <c r="I193" s="22"/>
    </row>
    <row r="194" spans="7:9">
      <c r="G194" s="13"/>
      <c r="I194" s="22"/>
    </row>
    <row r="195" spans="7:9">
      <c r="G195" s="13"/>
      <c r="I195" s="22"/>
    </row>
    <row r="196" spans="7:9">
      <c r="G196" s="13"/>
      <c r="I196" s="22"/>
    </row>
    <row r="197" spans="7:9">
      <c r="G197" s="13"/>
      <c r="I197" s="22"/>
    </row>
    <row r="198" spans="7:9">
      <c r="G198" s="13"/>
      <c r="I198" s="22"/>
    </row>
    <row r="199" spans="7:9">
      <c r="G199" s="13"/>
      <c r="I199" s="22"/>
    </row>
    <row r="200" spans="7:9">
      <c r="G200" s="13"/>
      <c r="I200" s="22"/>
    </row>
    <row r="201" spans="7:9">
      <c r="G201" s="13"/>
      <c r="I201" s="22"/>
    </row>
    <row r="202" spans="7:9">
      <c r="G202" s="13"/>
      <c r="I202" s="22"/>
    </row>
    <row r="203" spans="7:9">
      <c r="G203" s="13"/>
      <c r="I203" s="22"/>
    </row>
    <row r="204" spans="7:9">
      <c r="G204" s="13"/>
      <c r="I204" s="22"/>
    </row>
    <row r="205" spans="7:9">
      <c r="G205" s="13"/>
      <c r="I205" s="22"/>
    </row>
    <row r="206" spans="7:9">
      <c r="G206" s="13"/>
      <c r="I206" s="22"/>
    </row>
    <row r="207" spans="7:9">
      <c r="G207" s="13"/>
      <c r="I207" s="22"/>
    </row>
    <row r="208" spans="7:9">
      <c r="G208" s="13"/>
      <c r="I208" s="22"/>
    </row>
    <row r="209" spans="7:9">
      <c r="G209" s="13"/>
      <c r="I209" s="22"/>
    </row>
    <row r="210" spans="7:9">
      <c r="G210" s="13"/>
      <c r="I210" s="22"/>
    </row>
    <row r="211" spans="7:9">
      <c r="G211" s="13"/>
      <c r="I211" s="22"/>
    </row>
    <row r="212" spans="7:9">
      <c r="G212" s="13"/>
      <c r="I212" s="22"/>
    </row>
    <row r="213" spans="7:9">
      <c r="G213" s="13"/>
      <c r="I213" s="22"/>
    </row>
    <row r="214" spans="7:9">
      <c r="G214" s="13"/>
      <c r="I214" s="22"/>
    </row>
    <row r="215" spans="7:9">
      <c r="G215" s="13"/>
      <c r="I215" s="22"/>
    </row>
    <row r="216" spans="7:9">
      <c r="G216" s="13"/>
      <c r="I216" s="22"/>
    </row>
    <row r="217" spans="7:9">
      <c r="G217" s="13"/>
      <c r="I217" s="22"/>
    </row>
    <row r="218" spans="7:9">
      <c r="G218" s="13"/>
      <c r="I218" s="22"/>
    </row>
    <row r="219" spans="7:9">
      <c r="G219" s="13"/>
      <c r="I219" s="22"/>
    </row>
    <row r="220" spans="7:9">
      <c r="G220" s="13"/>
      <c r="I220" s="22"/>
    </row>
    <row r="221" spans="7:9">
      <c r="G221" s="13"/>
      <c r="I221" s="22"/>
    </row>
    <row r="222" spans="7:9">
      <c r="G222" s="13"/>
      <c r="I222" s="22"/>
    </row>
    <row r="223" spans="7:9">
      <c r="G223" s="13"/>
      <c r="I223" s="22"/>
    </row>
    <row r="224" spans="7:9">
      <c r="G224" s="13"/>
      <c r="I224" s="22"/>
    </row>
    <row r="225" spans="7:9">
      <c r="G225" s="13"/>
      <c r="I225" s="22"/>
    </row>
    <row r="226" spans="7:9">
      <c r="G226" s="13"/>
      <c r="I226" s="22"/>
    </row>
    <row r="227" spans="7:9">
      <c r="G227" s="13"/>
      <c r="I227" s="22"/>
    </row>
    <row r="228" spans="7:9">
      <c r="G228" s="13"/>
      <c r="I228" s="22"/>
    </row>
    <row r="229" spans="7:9">
      <c r="G229" s="13"/>
      <c r="I229" s="22"/>
    </row>
    <row r="230" spans="7:9">
      <c r="G230" s="13"/>
      <c r="I230" s="22"/>
    </row>
    <row r="231" spans="7:9">
      <c r="G231" s="13"/>
      <c r="I231" s="22"/>
    </row>
    <row r="232" spans="7:9">
      <c r="G232" s="13"/>
      <c r="I232" s="22"/>
    </row>
    <row r="233" spans="7:9">
      <c r="G233" s="13"/>
      <c r="I233" s="22"/>
    </row>
    <row r="234" spans="7:9">
      <c r="G234" s="13"/>
      <c r="I234" s="22"/>
    </row>
    <row r="235" spans="7:9">
      <c r="G235" s="13"/>
      <c r="I235" s="22"/>
    </row>
    <row r="236" spans="7:9">
      <c r="G236" s="13"/>
      <c r="I236" s="22"/>
    </row>
    <row r="237" spans="7:9">
      <c r="G237" s="13"/>
      <c r="I237" s="22"/>
    </row>
    <row r="238" spans="7:9">
      <c r="G238" s="13"/>
      <c r="I238" s="22"/>
    </row>
    <row r="239" spans="7:9">
      <c r="G239" s="13"/>
      <c r="I239" s="22"/>
    </row>
    <row r="240" spans="7:9">
      <c r="G240" s="13"/>
      <c r="I240" s="22"/>
    </row>
    <row r="241" spans="7:9">
      <c r="G241" s="13"/>
      <c r="I241" s="22"/>
    </row>
    <row r="242" spans="7:9">
      <c r="G242" s="13"/>
      <c r="I242" s="22"/>
    </row>
    <row r="243" spans="7:9">
      <c r="G243" s="13"/>
      <c r="I243" s="22"/>
    </row>
    <row r="244" spans="7:9">
      <c r="G244" s="13"/>
      <c r="I244" s="22"/>
    </row>
    <row r="245" spans="7:9">
      <c r="G245" s="13"/>
      <c r="I245" s="22"/>
    </row>
    <row r="246" spans="7:9">
      <c r="G246" s="13"/>
      <c r="I246" s="22"/>
    </row>
    <row r="247" spans="7:9">
      <c r="G247" s="13"/>
      <c r="I247" s="22"/>
    </row>
    <row r="248" spans="7:9">
      <c r="G248" s="13"/>
      <c r="I248" s="22"/>
    </row>
    <row r="249" spans="7:9">
      <c r="G249" s="13"/>
      <c r="I249" s="22"/>
    </row>
    <row r="250" spans="7:9">
      <c r="G250" s="13"/>
      <c r="I250" s="22"/>
    </row>
    <row r="251" spans="7:9">
      <c r="G251" s="13"/>
      <c r="I251" s="22"/>
    </row>
    <row r="252" spans="7:9">
      <c r="G252" s="13"/>
      <c r="I252" s="22"/>
    </row>
    <row r="253" spans="7:9">
      <c r="G253" s="13"/>
      <c r="I253" s="22"/>
    </row>
    <row r="254" spans="7:9">
      <c r="G254" s="13"/>
      <c r="I254" s="22"/>
    </row>
    <row r="255" spans="7:9">
      <c r="G255" s="13"/>
      <c r="I255" s="22"/>
    </row>
    <row r="256" spans="7:9">
      <c r="G256" s="13"/>
      <c r="I256" s="22"/>
    </row>
    <row r="257" spans="7:9">
      <c r="G257" s="13"/>
      <c r="I257" s="22"/>
    </row>
    <row r="258" spans="7:9">
      <c r="G258" s="13"/>
      <c r="I258" s="22"/>
    </row>
    <row r="259" spans="7:9">
      <c r="G259" s="13"/>
      <c r="I259" s="22"/>
    </row>
    <row r="260" spans="7:9">
      <c r="G260" s="13"/>
      <c r="I260" s="22"/>
    </row>
    <row r="261" spans="7:9">
      <c r="G261" s="13"/>
      <c r="I261" s="22"/>
    </row>
    <row r="262" spans="7:9">
      <c r="G262" s="13"/>
      <c r="I262" s="22"/>
    </row>
    <row r="263" spans="7:9">
      <c r="G263" s="13"/>
      <c r="I263" s="22"/>
    </row>
    <row r="264" spans="7:9">
      <c r="G264" s="13"/>
      <c r="I264" s="22"/>
    </row>
    <row r="265" spans="7:9">
      <c r="G265" s="13"/>
      <c r="I265" s="22"/>
    </row>
    <row r="266" spans="7:9">
      <c r="G266" s="13"/>
      <c r="I266" s="22"/>
    </row>
    <row r="267" spans="7:9">
      <c r="G267" s="13"/>
      <c r="I267" s="22"/>
    </row>
    <row r="268" spans="7:9">
      <c r="G268" s="13"/>
      <c r="I268" s="22"/>
    </row>
    <row r="269" spans="7:9">
      <c r="G269" s="13"/>
      <c r="I269" s="22"/>
    </row>
    <row r="270" spans="7:9">
      <c r="G270" s="13"/>
      <c r="I270" s="22"/>
    </row>
    <row r="271" spans="7:9">
      <c r="G271" s="13"/>
      <c r="I271" s="22"/>
    </row>
    <row r="272" spans="7:9">
      <c r="G272" s="13"/>
      <c r="I272" s="22"/>
    </row>
    <row r="273" spans="7:9">
      <c r="G273" s="13"/>
      <c r="I273" s="22"/>
    </row>
    <row r="274" spans="7:9">
      <c r="G274" s="13"/>
      <c r="I274" s="22"/>
    </row>
    <row r="275" spans="7:9">
      <c r="G275" s="13"/>
      <c r="I275" s="22"/>
    </row>
    <row r="276" spans="7:9">
      <c r="G276" s="13"/>
      <c r="I276" s="22"/>
    </row>
    <row r="277" spans="7:9">
      <c r="G277" s="13"/>
      <c r="I277" s="22"/>
    </row>
    <row r="278" spans="7:9">
      <c r="G278" s="13"/>
      <c r="I278" s="22"/>
    </row>
    <row r="279" spans="7:9">
      <c r="G279" s="13"/>
      <c r="I279" s="22"/>
    </row>
    <row r="280" spans="7:9">
      <c r="G280" s="13"/>
      <c r="I280" s="22"/>
    </row>
    <row r="281" spans="7:9">
      <c r="G281" s="13"/>
      <c r="I281" s="22"/>
    </row>
    <row r="282" spans="7:9">
      <c r="G282" s="13"/>
      <c r="I282" s="22"/>
    </row>
    <row r="283" spans="7:9">
      <c r="G283" s="13"/>
      <c r="I283" s="22"/>
    </row>
    <row r="284" spans="7:9">
      <c r="G284" s="13"/>
      <c r="I284" s="22"/>
    </row>
    <row r="285" spans="7:9">
      <c r="G285" s="13"/>
      <c r="I285" s="22"/>
    </row>
    <row r="286" spans="7:9">
      <c r="G286" s="13"/>
      <c r="I286" s="22"/>
    </row>
    <row r="287" spans="7:9">
      <c r="G287" s="13"/>
      <c r="I287" s="22"/>
    </row>
    <row r="288" spans="7:9">
      <c r="G288" s="13"/>
      <c r="I288" s="22"/>
    </row>
    <row r="289" spans="7:9">
      <c r="G289" s="13"/>
      <c r="I289" s="22"/>
    </row>
    <row r="290" spans="7:9">
      <c r="G290" s="13"/>
      <c r="I290" s="22"/>
    </row>
    <row r="291" spans="7:9">
      <c r="G291" s="13"/>
      <c r="I291" s="22"/>
    </row>
    <row r="292" spans="7:9">
      <c r="G292" s="13"/>
      <c r="I292" s="22"/>
    </row>
    <row r="293" spans="7:9">
      <c r="G293" s="13"/>
      <c r="I293" s="22"/>
    </row>
    <row r="294" spans="7:9">
      <c r="G294" s="13"/>
      <c r="I294" s="22"/>
    </row>
    <row r="295" spans="7:9">
      <c r="G295" s="13"/>
      <c r="I295" s="22"/>
    </row>
    <row r="296" spans="7:9">
      <c r="G296" s="13"/>
      <c r="I296" s="22"/>
    </row>
    <row r="297" spans="7:9">
      <c r="G297" s="13"/>
      <c r="I297" s="22"/>
    </row>
    <row r="298" spans="7:9">
      <c r="G298" s="13"/>
      <c r="I298" s="22"/>
    </row>
    <row r="299" spans="7:9">
      <c r="G299" s="13"/>
      <c r="I299" s="22"/>
    </row>
    <row r="300" spans="7:9">
      <c r="G300" s="13"/>
      <c r="I300" s="22"/>
    </row>
    <row r="301" spans="7:9">
      <c r="G301" s="13"/>
      <c r="I301" s="22"/>
    </row>
    <row r="302" spans="7:9">
      <c r="G302" s="13"/>
      <c r="I302" s="22"/>
    </row>
    <row r="303" spans="7:9">
      <c r="G303" s="13"/>
      <c r="I303" s="22"/>
    </row>
    <row r="304" spans="7:9">
      <c r="G304" s="13"/>
      <c r="I304" s="22"/>
    </row>
    <row r="305" spans="7:9">
      <c r="G305" s="13"/>
      <c r="I305" s="22"/>
    </row>
    <row r="306" spans="7:9">
      <c r="G306" s="13"/>
      <c r="I306" s="22"/>
    </row>
    <row r="307" spans="7:9">
      <c r="G307" s="13"/>
      <c r="I307" s="22"/>
    </row>
    <row r="308" spans="7:9">
      <c r="G308" s="13"/>
      <c r="I308" s="22"/>
    </row>
    <row r="309" spans="7:9">
      <c r="G309" s="13"/>
      <c r="I309" s="22"/>
    </row>
    <row r="310" spans="7:9">
      <c r="G310" s="13"/>
      <c r="I310" s="22"/>
    </row>
    <row r="311" spans="7:9">
      <c r="G311" s="13"/>
      <c r="I311" s="22"/>
    </row>
    <row r="312" spans="7:9">
      <c r="G312" s="13"/>
      <c r="I312" s="22"/>
    </row>
    <row r="313" spans="7:9">
      <c r="G313" s="13"/>
      <c r="I313" s="22"/>
    </row>
    <row r="314" spans="7:9">
      <c r="G314" s="13"/>
      <c r="I314" s="22"/>
    </row>
    <row r="315" spans="7:9">
      <c r="G315" s="13"/>
      <c r="I315" s="22"/>
    </row>
    <row r="316" spans="7:9">
      <c r="G316" s="13"/>
      <c r="I316" s="22"/>
    </row>
    <row r="317" spans="7:9">
      <c r="G317" s="13"/>
      <c r="I317" s="22"/>
    </row>
    <row r="318" spans="7:9">
      <c r="G318" s="13"/>
      <c r="I318" s="22"/>
    </row>
    <row r="319" spans="7:9">
      <c r="G319" s="13"/>
      <c r="I319" s="22"/>
    </row>
    <row r="320" spans="7:9">
      <c r="G320" s="13"/>
      <c r="I320" s="22"/>
    </row>
    <row r="321" spans="7:9">
      <c r="G321" s="13"/>
      <c r="I321" s="22"/>
    </row>
    <row r="322" spans="7:9">
      <c r="G322" s="13"/>
      <c r="I322" s="22"/>
    </row>
    <row r="323" spans="7:9">
      <c r="G323" s="13"/>
      <c r="I323" s="22"/>
    </row>
    <row r="324" spans="7:9">
      <c r="G324" s="13"/>
      <c r="I324" s="22"/>
    </row>
    <row r="325" spans="7:9">
      <c r="G325" s="13"/>
      <c r="I325" s="22"/>
    </row>
    <row r="326" spans="7:9">
      <c r="G326" s="13"/>
      <c r="I326" s="22"/>
    </row>
    <row r="327" spans="7:9">
      <c r="G327" s="13"/>
      <c r="I327" s="22"/>
    </row>
    <row r="328" spans="7:9">
      <c r="G328" s="13"/>
      <c r="I328" s="22"/>
    </row>
    <row r="329" spans="7:9">
      <c r="G329" s="13"/>
      <c r="I329" s="22"/>
    </row>
    <row r="330" spans="7:9">
      <c r="G330" s="13"/>
      <c r="I330" s="22"/>
    </row>
    <row r="331" spans="7:9">
      <c r="G331" s="13"/>
      <c r="I331" s="22"/>
    </row>
    <row r="332" spans="7:9">
      <c r="G332" s="13"/>
      <c r="I332" s="22"/>
    </row>
    <row r="333" spans="7:9">
      <c r="G333" s="13"/>
      <c r="I333" s="22"/>
    </row>
    <row r="334" spans="7:9">
      <c r="G334" s="13"/>
      <c r="I334" s="22"/>
    </row>
    <row r="335" spans="7:9">
      <c r="G335" s="13"/>
      <c r="I335" s="22"/>
    </row>
    <row r="336" spans="7:9">
      <c r="G336" s="13"/>
      <c r="I336" s="22"/>
    </row>
    <row r="337" spans="7:9">
      <c r="G337" s="13"/>
      <c r="I337" s="22"/>
    </row>
    <row r="338" spans="7:9">
      <c r="G338" s="13"/>
      <c r="I338" s="22"/>
    </row>
    <row r="339" spans="7:9">
      <c r="G339" s="13"/>
      <c r="I339" s="22"/>
    </row>
    <row r="340" spans="7:9">
      <c r="G340" s="13"/>
      <c r="I340" s="22"/>
    </row>
    <row r="341" spans="7:9">
      <c r="G341" s="13"/>
      <c r="I341" s="22"/>
    </row>
    <row r="342" spans="7:9">
      <c r="G342" s="13"/>
      <c r="I342" s="22"/>
    </row>
    <row r="343" spans="7:9">
      <c r="G343" s="13"/>
      <c r="I343" s="22"/>
    </row>
    <row r="344" spans="7:9">
      <c r="G344" s="13"/>
      <c r="I344" s="22"/>
    </row>
    <row r="345" spans="7:9">
      <c r="G345" s="13"/>
      <c r="I345" s="22"/>
    </row>
    <row r="346" spans="7:9">
      <c r="G346" s="13"/>
      <c r="I346" s="22"/>
    </row>
    <row r="347" spans="7:9">
      <c r="G347" s="13"/>
      <c r="I347" s="22"/>
    </row>
    <row r="348" spans="7:9">
      <c r="G348" s="13"/>
      <c r="I348" s="22"/>
    </row>
    <row r="349" spans="7:9">
      <c r="G349" s="13"/>
      <c r="I349" s="22"/>
    </row>
    <row r="350" spans="7:9">
      <c r="G350" s="13"/>
      <c r="I350" s="22"/>
    </row>
    <row r="351" spans="7:9">
      <c r="G351" s="13"/>
      <c r="I351" s="22"/>
    </row>
    <row r="352" spans="7:9">
      <c r="G352" s="13"/>
      <c r="I352" s="22"/>
    </row>
    <row r="353" spans="7:9">
      <c r="G353" s="13"/>
      <c r="I353" s="22"/>
    </row>
    <row r="354" spans="7:9">
      <c r="G354" s="13"/>
      <c r="I354" s="22"/>
    </row>
    <row r="355" spans="7:9">
      <c r="G355" s="13"/>
      <c r="I355" s="22"/>
    </row>
    <row r="356" spans="7:9">
      <c r="G356" s="13"/>
      <c r="I356" s="22"/>
    </row>
    <row r="357" spans="7:9">
      <c r="G357" s="13"/>
      <c r="I357" s="22"/>
    </row>
    <row r="358" spans="7:9">
      <c r="G358" s="13"/>
      <c r="I358" s="22"/>
    </row>
    <row r="359" spans="7:9">
      <c r="G359" s="13"/>
      <c r="I359" s="22"/>
    </row>
    <row r="360" spans="7:9">
      <c r="G360" s="13"/>
      <c r="I360" s="22"/>
    </row>
    <row r="361" spans="7:9">
      <c r="G361" s="13"/>
      <c r="I361" s="22"/>
    </row>
    <row r="362" spans="7:9">
      <c r="G362" s="13"/>
      <c r="I362" s="22"/>
    </row>
    <row r="363" spans="7:9">
      <c r="G363" s="13"/>
      <c r="I363" s="22"/>
    </row>
    <row r="364" spans="7:9">
      <c r="G364" s="13"/>
      <c r="I364" s="22"/>
    </row>
    <row r="365" spans="7:9">
      <c r="G365" s="13"/>
      <c r="I365" s="22"/>
    </row>
    <row r="366" spans="7:9">
      <c r="G366" s="13"/>
      <c r="I366" s="22"/>
    </row>
    <row r="367" spans="7:9">
      <c r="G367" s="13"/>
      <c r="I367" s="22"/>
    </row>
    <row r="368" spans="7:9">
      <c r="G368" s="13"/>
      <c r="I368" s="22"/>
    </row>
    <row r="369" spans="7:9">
      <c r="G369" s="13"/>
      <c r="I369" s="22"/>
    </row>
    <row r="370" spans="7:9">
      <c r="G370" s="13"/>
      <c r="I370" s="22"/>
    </row>
    <row r="371" spans="7:9">
      <c r="G371" s="13"/>
      <c r="I371" s="22"/>
    </row>
    <row r="372" spans="7:9">
      <c r="G372" s="13"/>
      <c r="I372" s="22"/>
    </row>
    <row r="373" spans="7:9">
      <c r="G373" s="13"/>
      <c r="I373" s="22"/>
    </row>
    <row r="374" spans="7:9">
      <c r="G374" s="13"/>
      <c r="I374" s="22"/>
    </row>
    <row r="375" spans="7:9">
      <c r="G375" s="13"/>
      <c r="I375" s="22"/>
    </row>
    <row r="376" spans="7:9">
      <c r="G376" s="13"/>
      <c r="I376" s="22"/>
    </row>
    <row r="377" spans="7:9">
      <c r="G377" s="13"/>
      <c r="I377" s="22"/>
    </row>
    <row r="378" spans="7:9">
      <c r="G378" s="13"/>
      <c r="I378" s="22"/>
    </row>
    <row r="379" spans="7:9">
      <c r="G379" s="13"/>
      <c r="I379" s="22"/>
    </row>
    <row r="380" spans="7:9">
      <c r="G380" s="13"/>
      <c r="I380" s="22"/>
    </row>
    <row r="381" spans="7:9">
      <c r="G381" s="13"/>
      <c r="I381" s="22"/>
    </row>
    <row r="382" spans="7:9">
      <c r="G382" s="13"/>
      <c r="I382" s="22"/>
    </row>
    <row r="383" spans="7:9">
      <c r="G383" s="13"/>
      <c r="I383" s="22"/>
    </row>
    <row r="384" spans="7:9">
      <c r="G384" s="13"/>
      <c r="I384" s="22"/>
    </row>
    <row r="385" spans="7:9">
      <c r="G385" s="13"/>
      <c r="I385" s="22"/>
    </row>
    <row r="386" spans="7:9">
      <c r="G386" s="13"/>
      <c r="I386" s="22"/>
    </row>
    <row r="387" spans="7:9">
      <c r="G387" s="13"/>
      <c r="I387" s="22"/>
    </row>
    <row r="388" spans="7:9">
      <c r="G388" s="13"/>
      <c r="I388" s="22"/>
    </row>
    <row r="389" spans="7:9">
      <c r="G389" s="13"/>
      <c r="I389" s="22"/>
    </row>
    <row r="390" spans="7:9">
      <c r="G390" s="13"/>
      <c r="I390" s="22"/>
    </row>
    <row r="391" spans="7:9">
      <c r="G391" s="13"/>
      <c r="I391" s="22"/>
    </row>
    <row r="392" spans="7:9">
      <c r="G392" s="13"/>
      <c r="I392" s="22"/>
    </row>
    <row r="393" spans="7:9">
      <c r="G393" s="13"/>
      <c r="I393" s="22"/>
    </row>
    <row r="394" spans="7:9">
      <c r="G394" s="13"/>
      <c r="I394" s="22"/>
    </row>
    <row r="395" spans="7:9">
      <c r="G395" s="13"/>
      <c r="I395" s="22"/>
    </row>
    <row r="396" spans="7:9">
      <c r="G396" s="13"/>
      <c r="I396" s="22"/>
    </row>
    <row r="397" spans="7:9">
      <c r="G397" s="13"/>
      <c r="I397" s="22"/>
    </row>
    <row r="398" spans="7:9">
      <c r="G398" s="13"/>
      <c r="I398" s="22"/>
    </row>
    <row r="399" spans="7:9">
      <c r="G399" s="13"/>
      <c r="I399" s="22"/>
    </row>
    <row r="400" spans="7:9">
      <c r="G400" s="13"/>
      <c r="I400" s="22"/>
    </row>
    <row r="401" spans="7:9">
      <c r="G401" s="13"/>
      <c r="I401" s="22"/>
    </row>
    <row r="402" spans="7:9">
      <c r="G402" s="13"/>
      <c r="I402" s="22"/>
    </row>
    <row r="403" spans="7:9">
      <c r="G403" s="13"/>
      <c r="I403" s="22"/>
    </row>
    <row r="404" spans="7:9">
      <c r="G404" s="13"/>
      <c r="I404" s="22"/>
    </row>
    <row r="405" spans="7:9">
      <c r="G405" s="13"/>
      <c r="I405" s="22"/>
    </row>
    <row r="406" spans="7:9">
      <c r="G406" s="13"/>
      <c r="I406" s="22"/>
    </row>
    <row r="407" spans="7:9">
      <c r="G407" s="13"/>
      <c r="I407" s="22"/>
    </row>
    <row r="408" spans="7:9">
      <c r="G408" s="13"/>
      <c r="I408" s="22"/>
    </row>
    <row r="409" spans="7:9">
      <c r="G409" s="13"/>
      <c r="I409" s="22"/>
    </row>
    <row r="410" spans="7:9">
      <c r="G410" s="13"/>
      <c r="I410" s="22"/>
    </row>
    <row r="411" spans="7:9">
      <c r="G411" s="13"/>
      <c r="I411" s="22"/>
    </row>
    <row r="412" spans="7:9">
      <c r="G412" s="13"/>
      <c r="I412" s="22"/>
    </row>
    <row r="413" spans="7:9">
      <c r="G413" s="13"/>
      <c r="I413" s="22"/>
    </row>
    <row r="414" spans="7:9">
      <c r="G414" s="13"/>
      <c r="I414" s="22"/>
    </row>
    <row r="415" spans="7:9">
      <c r="G415" s="13"/>
      <c r="I415" s="22"/>
    </row>
    <row r="416" spans="7:9">
      <c r="G416" s="13"/>
      <c r="I416" s="22"/>
    </row>
    <row r="417" spans="7:9">
      <c r="G417" s="13"/>
      <c r="I417" s="22"/>
    </row>
    <row r="418" spans="7:9">
      <c r="G418" s="13"/>
      <c r="I418" s="22"/>
    </row>
    <row r="419" spans="7:9">
      <c r="G419" s="13"/>
      <c r="I419" s="22"/>
    </row>
    <row r="420" spans="7:9">
      <c r="G420" s="13"/>
      <c r="I420" s="22"/>
    </row>
    <row r="421" spans="7:9">
      <c r="G421" s="13"/>
      <c r="I421" s="22"/>
    </row>
    <row r="422" spans="7:9">
      <c r="G422" s="13"/>
      <c r="I422" s="22"/>
    </row>
    <row r="423" spans="7:9">
      <c r="G423" s="13"/>
      <c r="I423" s="22"/>
    </row>
    <row r="424" spans="7:9">
      <c r="G424" s="13"/>
      <c r="I424" s="22"/>
    </row>
    <row r="425" spans="7:9">
      <c r="G425" s="13"/>
      <c r="I425" s="22"/>
    </row>
    <row r="426" spans="7:9">
      <c r="G426" s="13"/>
      <c r="I426" s="22"/>
    </row>
    <row r="427" spans="7:9">
      <c r="G427" s="13"/>
      <c r="I427" s="22"/>
    </row>
    <row r="428" spans="7:9">
      <c r="G428" s="13"/>
      <c r="I428" s="22"/>
    </row>
    <row r="429" spans="7:9">
      <c r="G429" s="13"/>
      <c r="I429" s="22"/>
    </row>
    <row r="430" spans="7:9">
      <c r="G430" s="13"/>
      <c r="I430" s="22"/>
    </row>
    <row r="431" spans="7:9">
      <c r="G431" s="13"/>
      <c r="I431" s="22"/>
    </row>
    <row r="432" spans="7:9">
      <c r="G432" s="13"/>
      <c r="I432" s="22"/>
    </row>
    <row r="433" spans="7:9">
      <c r="G433" s="13"/>
      <c r="I433" s="22"/>
    </row>
    <row r="434" spans="7:9">
      <c r="G434" s="13"/>
      <c r="I434" s="22"/>
    </row>
    <row r="435" spans="7:9">
      <c r="G435" s="13"/>
      <c r="I435" s="22"/>
    </row>
    <row r="436" spans="7:9">
      <c r="G436" s="13"/>
      <c r="I436" s="22"/>
    </row>
    <row r="437" spans="7:9">
      <c r="G437" s="13"/>
      <c r="I437" s="22"/>
    </row>
    <row r="438" spans="7:9">
      <c r="G438" s="13"/>
      <c r="I438" s="22"/>
    </row>
    <row r="439" spans="7:9">
      <c r="G439" s="13"/>
      <c r="I439" s="22"/>
    </row>
    <row r="440" spans="7:9">
      <c r="G440" s="13"/>
      <c r="I440" s="22"/>
    </row>
    <row r="441" spans="7:9">
      <c r="G441" s="13"/>
      <c r="I441" s="22"/>
    </row>
    <row r="442" spans="7:9">
      <c r="G442" s="13"/>
      <c r="I442" s="22"/>
    </row>
    <row r="443" spans="7:9">
      <c r="G443" s="13"/>
      <c r="I443" s="22"/>
    </row>
    <row r="444" spans="7:9">
      <c r="G444" s="13"/>
      <c r="I444" s="22"/>
    </row>
    <row r="445" spans="7:9">
      <c r="G445" s="13"/>
      <c r="I445" s="22"/>
    </row>
    <row r="446" spans="7:9">
      <c r="G446" s="13"/>
      <c r="I446" s="22"/>
    </row>
    <row r="447" spans="7:9">
      <c r="G447" s="13"/>
      <c r="I447" s="22"/>
    </row>
    <row r="448" spans="7:9">
      <c r="G448" s="13"/>
      <c r="I448" s="22"/>
    </row>
    <row r="449" spans="7:9">
      <c r="G449" s="13"/>
      <c r="I449" s="22"/>
    </row>
    <row r="450" spans="7:9">
      <c r="G450" s="13"/>
      <c r="I450" s="22"/>
    </row>
    <row r="451" spans="7:9">
      <c r="G451" s="13"/>
      <c r="I451" s="22"/>
    </row>
    <row r="452" spans="7:9">
      <c r="G452" s="13"/>
      <c r="I452" s="22"/>
    </row>
    <row r="453" spans="7:9">
      <c r="G453" s="13"/>
      <c r="I453" s="22"/>
    </row>
    <row r="454" spans="7:9">
      <c r="G454" s="13"/>
      <c r="I454" s="22"/>
    </row>
    <row r="455" spans="7:9">
      <c r="G455" s="13"/>
      <c r="I455" s="22"/>
    </row>
    <row r="456" spans="7:9">
      <c r="G456" s="13"/>
      <c r="I456" s="22"/>
    </row>
    <row r="457" spans="7:9">
      <c r="G457" s="13"/>
      <c r="I457" s="22"/>
    </row>
    <row r="458" spans="7:9">
      <c r="G458" s="13"/>
      <c r="I458" s="22"/>
    </row>
    <row r="459" spans="7:9">
      <c r="G459" s="13"/>
      <c r="I459" s="22"/>
    </row>
    <row r="460" spans="7:9">
      <c r="G460" s="13"/>
      <c r="I460" s="22"/>
    </row>
    <row r="461" spans="7:9">
      <c r="G461" s="13"/>
      <c r="I461" s="22"/>
    </row>
    <row r="462" spans="7:9">
      <c r="G462" s="13"/>
      <c r="I462" s="22"/>
    </row>
    <row r="463" spans="7:9">
      <c r="G463" s="13"/>
      <c r="I463" s="22"/>
    </row>
    <row r="464" spans="7:9">
      <c r="G464" s="13"/>
      <c r="I464" s="22"/>
    </row>
    <row r="465" spans="7:9">
      <c r="G465" s="13"/>
      <c r="I465" s="22"/>
    </row>
    <row r="466" spans="7:9">
      <c r="G466" s="13"/>
      <c r="I466" s="22"/>
    </row>
    <row r="467" spans="7:9">
      <c r="G467" s="13"/>
      <c r="I467" s="22"/>
    </row>
    <row r="468" spans="7:9">
      <c r="G468" s="13"/>
      <c r="I468" s="22"/>
    </row>
    <row r="469" spans="7:9">
      <c r="G469" s="13"/>
      <c r="I469" s="22"/>
    </row>
    <row r="470" spans="7:9">
      <c r="G470" s="13"/>
      <c r="I470" s="22"/>
    </row>
    <row r="471" spans="7:9">
      <c r="G471" s="13"/>
      <c r="I471" s="22"/>
    </row>
    <row r="472" spans="7:9">
      <c r="G472" s="13"/>
      <c r="I472" s="22"/>
    </row>
    <row r="473" spans="7:9">
      <c r="G473" s="13"/>
      <c r="I473" s="22"/>
    </row>
    <row r="474" spans="7:9">
      <c r="G474" s="13"/>
      <c r="I474" s="22"/>
    </row>
    <row r="475" spans="7:9">
      <c r="G475" s="13"/>
      <c r="I475" s="22"/>
    </row>
    <row r="476" spans="7:9">
      <c r="G476" s="13"/>
      <c r="I476" s="22"/>
    </row>
    <row r="477" spans="7:9">
      <c r="G477" s="13"/>
      <c r="I477" s="22"/>
    </row>
    <row r="478" spans="7:9">
      <c r="G478" s="13"/>
      <c r="I478" s="22"/>
    </row>
    <row r="479" spans="7:9">
      <c r="G479" s="13"/>
      <c r="I479" s="22"/>
    </row>
    <row r="480" spans="7:9">
      <c r="G480" s="13"/>
      <c r="I480" s="22"/>
    </row>
    <row r="481" spans="7:9">
      <c r="G481" s="13"/>
      <c r="I481" s="22"/>
    </row>
    <row r="482" spans="7:9">
      <c r="G482" s="13"/>
      <c r="I482" s="22"/>
    </row>
    <row r="483" spans="7:9">
      <c r="G483" s="13"/>
      <c r="I483" s="22"/>
    </row>
    <row r="484" spans="7:9">
      <c r="G484" s="13"/>
      <c r="I484" s="22"/>
    </row>
    <row r="485" spans="7:9">
      <c r="G485" s="13"/>
      <c r="I485" s="22"/>
    </row>
    <row r="486" spans="7:9">
      <c r="G486" s="13"/>
      <c r="I486" s="22"/>
    </row>
    <row r="487" spans="7:9">
      <c r="G487" s="13"/>
      <c r="I487" s="22"/>
    </row>
    <row r="488" spans="7:9">
      <c r="G488" s="13"/>
      <c r="I488" s="22"/>
    </row>
    <row r="489" spans="7:9">
      <c r="G489" s="13"/>
      <c r="I489" s="22"/>
    </row>
    <row r="490" spans="7:9">
      <c r="G490" s="13"/>
      <c r="I490" s="22"/>
    </row>
    <row r="491" spans="7:9">
      <c r="G491" s="13"/>
      <c r="I491" s="22"/>
    </row>
    <row r="492" spans="7:9">
      <c r="G492" s="13"/>
      <c r="I492" s="22"/>
    </row>
    <row r="493" spans="7:9">
      <c r="G493" s="13"/>
      <c r="I493" s="22"/>
    </row>
    <row r="494" spans="7:9">
      <c r="G494" s="13"/>
      <c r="I494" s="22"/>
    </row>
    <row r="495" spans="7:9">
      <c r="G495" s="13"/>
      <c r="I495" s="22"/>
    </row>
    <row r="496" spans="7:9">
      <c r="G496" s="13"/>
      <c r="I496" s="22"/>
    </row>
    <row r="497" spans="7:9">
      <c r="G497" s="13"/>
      <c r="I497" s="22"/>
    </row>
    <row r="498" spans="7:9">
      <c r="G498" s="13"/>
      <c r="I498" s="22"/>
    </row>
    <row r="499" spans="7:9">
      <c r="G499" s="13"/>
      <c r="I499" s="22"/>
    </row>
    <row r="500" spans="7:9">
      <c r="G500" s="13"/>
      <c r="I500" s="22"/>
    </row>
    <row r="501" spans="7:9">
      <c r="G501" s="13"/>
      <c r="I501" s="22"/>
    </row>
    <row r="502" spans="7:9">
      <c r="G502" s="13"/>
      <c r="I502" s="22"/>
    </row>
    <row r="503" spans="7:9">
      <c r="G503" s="13"/>
      <c r="I503" s="22"/>
    </row>
    <row r="504" spans="7:9">
      <c r="G504" s="13"/>
      <c r="I504" s="22"/>
    </row>
    <row r="505" spans="7:9">
      <c r="G505" s="13"/>
      <c r="I505" s="22"/>
    </row>
    <row r="506" spans="7:9">
      <c r="G506" s="13"/>
      <c r="I506" s="22"/>
    </row>
    <row r="507" spans="7:9">
      <c r="G507" s="13"/>
      <c r="I507" s="22"/>
    </row>
    <row r="508" spans="7:9">
      <c r="G508" s="13"/>
      <c r="I508" s="22"/>
    </row>
    <row r="509" spans="7:9">
      <c r="G509" s="13"/>
      <c r="I509" s="22"/>
    </row>
    <row r="510" spans="7:9">
      <c r="G510" s="13"/>
      <c r="I510" s="22"/>
    </row>
    <row r="511" spans="7:9">
      <c r="G511" s="13"/>
      <c r="I511" s="22"/>
    </row>
    <row r="512" spans="7:9">
      <c r="G512" s="13"/>
      <c r="I512" s="22"/>
    </row>
    <row r="513" spans="7:9">
      <c r="G513" s="13"/>
      <c r="I513" s="22"/>
    </row>
    <row r="514" spans="7:9">
      <c r="G514" s="13"/>
      <c r="I514" s="22"/>
    </row>
    <row r="515" spans="7:9">
      <c r="G515" s="13"/>
      <c r="I515" s="22"/>
    </row>
    <row r="516" spans="7:9">
      <c r="G516" s="13"/>
      <c r="I516" s="22"/>
    </row>
    <row r="517" spans="7:9">
      <c r="G517" s="13"/>
      <c r="I517" s="22"/>
    </row>
    <row r="518" spans="7:9">
      <c r="G518" s="13"/>
      <c r="I518" s="22"/>
    </row>
    <row r="519" spans="7:9">
      <c r="G519" s="13"/>
      <c r="I519" s="22"/>
    </row>
    <row r="520" spans="7:9">
      <c r="G520" s="13"/>
      <c r="I520" s="22"/>
    </row>
    <row r="521" spans="7:9">
      <c r="G521" s="13"/>
      <c r="I521" s="22"/>
    </row>
    <row r="522" spans="7:9">
      <c r="G522" s="13"/>
      <c r="I522" s="22"/>
    </row>
    <row r="523" spans="7:9">
      <c r="G523" s="13"/>
      <c r="I523" s="22"/>
    </row>
    <row r="524" spans="7:9">
      <c r="G524" s="13"/>
      <c r="I524" s="22"/>
    </row>
    <row r="525" spans="7:9">
      <c r="G525" s="13"/>
      <c r="I525" s="22"/>
    </row>
    <row r="526" spans="7:9">
      <c r="G526" s="13"/>
      <c r="I526" s="22"/>
    </row>
    <row r="527" spans="7:9">
      <c r="G527" s="13"/>
      <c r="I527" s="22"/>
    </row>
    <row r="528" spans="7:9">
      <c r="G528" s="13"/>
      <c r="I528" s="22"/>
    </row>
    <row r="529" spans="7:9">
      <c r="G529" s="13"/>
      <c r="I529" s="22"/>
    </row>
    <row r="530" spans="7:9">
      <c r="G530" s="13"/>
      <c r="I530" s="22"/>
    </row>
    <row r="531" spans="7:9">
      <c r="G531" s="13"/>
      <c r="I531" s="22"/>
    </row>
    <row r="532" spans="7:9">
      <c r="G532" s="13"/>
      <c r="I532" s="22"/>
    </row>
    <row r="533" spans="7:9">
      <c r="G533" s="13"/>
      <c r="I533" s="22"/>
    </row>
    <row r="534" spans="7:9">
      <c r="G534" s="13"/>
      <c r="I534" s="22"/>
    </row>
    <row r="535" spans="7:9">
      <c r="G535" s="13"/>
      <c r="I535" s="22"/>
    </row>
    <row r="536" spans="7:9">
      <c r="G536" s="13"/>
      <c r="I536" s="22"/>
    </row>
    <row r="537" spans="7:9">
      <c r="G537" s="13"/>
      <c r="I537" s="22"/>
    </row>
    <row r="538" spans="7:9">
      <c r="G538" s="13"/>
      <c r="I538" s="22"/>
    </row>
    <row r="539" spans="7:9">
      <c r="G539" s="13"/>
      <c r="I539" s="22"/>
    </row>
    <row r="540" spans="7:9">
      <c r="G540" s="13"/>
      <c r="I540" s="22"/>
    </row>
    <row r="541" spans="7:9">
      <c r="G541" s="13"/>
      <c r="I541" s="22"/>
    </row>
    <row r="542" spans="7:9">
      <c r="G542" s="13"/>
      <c r="I542" s="22"/>
    </row>
    <row r="543" spans="7:9">
      <c r="G543" s="13"/>
      <c r="I543" s="22"/>
    </row>
    <row r="544" spans="7:9">
      <c r="G544" s="13"/>
      <c r="I544" s="22"/>
    </row>
    <row r="545" spans="7:9">
      <c r="G545" s="13"/>
      <c r="I545" s="22"/>
    </row>
    <row r="546" spans="7:9">
      <c r="G546" s="13"/>
      <c r="I546" s="22"/>
    </row>
    <row r="547" spans="7:9">
      <c r="G547" s="13"/>
      <c r="I547" s="22"/>
    </row>
    <row r="548" spans="7:9">
      <c r="G548" s="13"/>
      <c r="I548" s="22"/>
    </row>
    <row r="549" spans="7:9">
      <c r="G549" s="13"/>
      <c r="I549" s="22"/>
    </row>
    <row r="550" spans="7:9">
      <c r="G550" s="13"/>
      <c r="I550" s="22"/>
    </row>
    <row r="551" spans="7:9">
      <c r="G551" s="13"/>
      <c r="I551" s="22"/>
    </row>
    <row r="552" spans="7:9">
      <c r="G552" s="13"/>
      <c r="I552" s="22"/>
    </row>
    <row r="553" spans="7:9">
      <c r="G553" s="13"/>
      <c r="I553" s="22"/>
    </row>
    <row r="554" spans="7:9">
      <c r="G554" s="13"/>
      <c r="I554" s="22"/>
    </row>
    <row r="555" spans="7:9">
      <c r="G555" s="13"/>
      <c r="I555" s="22"/>
    </row>
    <row r="556" spans="7:9">
      <c r="G556" s="13"/>
      <c r="I556" s="22"/>
    </row>
    <row r="557" spans="7:9">
      <c r="G557" s="13"/>
      <c r="I557" s="22"/>
    </row>
    <row r="558" spans="7:9">
      <c r="G558" s="13"/>
      <c r="I558" s="22"/>
    </row>
    <row r="559" spans="7:9">
      <c r="G559" s="13"/>
      <c r="I559" s="22"/>
    </row>
    <row r="560" spans="7:9">
      <c r="G560" s="13"/>
      <c r="I560" s="22"/>
    </row>
    <row r="561" spans="7:9">
      <c r="G561" s="13"/>
      <c r="I561" s="22"/>
    </row>
    <row r="562" spans="7:9">
      <c r="G562" s="13"/>
      <c r="I562" s="22"/>
    </row>
    <row r="563" spans="7:9">
      <c r="G563" s="13"/>
      <c r="I563" s="22"/>
    </row>
    <row r="564" spans="7:9">
      <c r="G564" s="13"/>
      <c r="I564" s="22"/>
    </row>
    <row r="565" spans="7:9">
      <c r="G565" s="13"/>
      <c r="I565" s="22"/>
    </row>
    <row r="566" spans="7:9">
      <c r="G566" s="13"/>
      <c r="I566" s="22"/>
    </row>
    <row r="567" spans="7:9">
      <c r="G567" s="13"/>
      <c r="I567" s="22"/>
    </row>
    <row r="568" spans="7:9">
      <c r="G568" s="13"/>
      <c r="I568" s="22"/>
    </row>
    <row r="569" spans="7:9">
      <c r="G569" s="13"/>
      <c r="I569" s="22"/>
    </row>
    <row r="570" spans="7:9">
      <c r="G570" s="13"/>
      <c r="I570" s="22"/>
    </row>
    <row r="571" spans="7:9">
      <c r="G571" s="13"/>
      <c r="I571" s="22"/>
    </row>
    <row r="572" spans="7:9">
      <c r="G572" s="13"/>
      <c r="I572" s="22"/>
    </row>
    <row r="573" spans="7:9">
      <c r="G573" s="13"/>
      <c r="I573" s="22"/>
    </row>
    <row r="574" spans="7:9">
      <c r="G574" s="13"/>
      <c r="I574" s="22"/>
    </row>
    <row r="575" spans="7:9">
      <c r="G575" s="13"/>
      <c r="I575" s="22"/>
    </row>
    <row r="576" spans="7:9">
      <c r="G576" s="13"/>
      <c r="I576" s="22"/>
    </row>
    <row r="577" spans="7:9">
      <c r="G577" s="13"/>
      <c r="I577" s="22"/>
    </row>
    <row r="578" spans="7:9">
      <c r="G578" s="13"/>
      <c r="I578" s="22"/>
    </row>
    <row r="579" spans="7:9">
      <c r="G579" s="13"/>
      <c r="I579" s="22"/>
    </row>
    <row r="580" spans="7:9">
      <c r="G580" s="13"/>
      <c r="I580" s="22"/>
    </row>
    <row r="581" spans="7:9">
      <c r="G581" s="13"/>
      <c r="I581" s="22"/>
    </row>
    <row r="582" spans="7:9">
      <c r="G582" s="13"/>
      <c r="I582" s="22"/>
    </row>
    <row r="583" spans="7:9">
      <c r="G583" s="13"/>
      <c r="I583" s="22"/>
    </row>
    <row r="584" spans="7:9">
      <c r="G584" s="13"/>
      <c r="I584" s="22"/>
    </row>
    <row r="585" spans="7:9">
      <c r="G585" s="13"/>
      <c r="I585" s="22"/>
    </row>
    <row r="586" spans="7:9">
      <c r="G586" s="13"/>
      <c r="I586" s="22"/>
    </row>
    <row r="587" spans="7:9">
      <c r="G587" s="13"/>
      <c r="I587" s="22"/>
    </row>
    <row r="588" spans="7:9">
      <c r="G588" s="13"/>
      <c r="I588" s="22"/>
    </row>
    <row r="589" spans="7:9">
      <c r="G589" s="13"/>
      <c r="I589" s="22"/>
    </row>
    <row r="590" spans="7:9">
      <c r="G590" s="13"/>
      <c r="I590" s="22"/>
    </row>
    <row r="591" spans="7:9">
      <c r="G591" s="13"/>
      <c r="I591" s="22"/>
    </row>
    <row r="592" spans="7:9">
      <c r="G592" s="13"/>
      <c r="I592" s="22"/>
    </row>
    <row r="593" spans="7:9">
      <c r="G593" s="13"/>
      <c r="I593" s="22"/>
    </row>
    <row r="594" spans="7:9">
      <c r="G594" s="13"/>
      <c r="I594" s="22"/>
    </row>
    <row r="595" spans="7:9">
      <c r="G595" s="13"/>
      <c r="I595" s="22"/>
    </row>
    <row r="596" spans="7:9">
      <c r="G596" s="13"/>
      <c r="I596" s="22"/>
    </row>
    <row r="597" spans="7:9">
      <c r="G597" s="13"/>
      <c r="I597" s="22"/>
    </row>
    <row r="598" spans="7:9">
      <c r="G598" s="13"/>
      <c r="I598" s="22"/>
    </row>
    <row r="599" spans="7:9">
      <c r="G599" s="13"/>
      <c r="I599" s="22"/>
    </row>
    <row r="600" spans="7:9">
      <c r="G600" s="13"/>
      <c r="I600" s="22"/>
    </row>
    <row r="601" spans="7:9">
      <c r="G601" s="13"/>
      <c r="I601" s="22"/>
    </row>
    <row r="602" spans="7:9">
      <c r="G602" s="13"/>
      <c r="I602" s="22"/>
    </row>
    <row r="603" spans="7:9">
      <c r="G603" s="13"/>
      <c r="I603" s="22"/>
    </row>
    <row r="604" spans="7:9">
      <c r="G604" s="13"/>
      <c r="I604" s="22"/>
    </row>
    <row r="605" spans="7:9">
      <c r="G605" s="13"/>
      <c r="I605" s="22"/>
    </row>
    <row r="606" spans="7:9">
      <c r="G606" s="13"/>
      <c r="I606" s="22"/>
    </row>
    <row r="607" spans="7:9">
      <c r="G607" s="13"/>
      <c r="I607" s="22"/>
    </row>
    <row r="608" spans="7:9">
      <c r="G608" s="13"/>
      <c r="I608" s="22"/>
    </row>
    <row r="609" spans="7:9">
      <c r="G609" s="13"/>
      <c r="I609" s="22"/>
    </row>
    <row r="610" spans="7:9">
      <c r="G610" s="13"/>
      <c r="I610" s="22"/>
    </row>
    <row r="611" spans="7:9">
      <c r="G611" s="13"/>
      <c r="I611" s="22"/>
    </row>
    <row r="612" spans="7:9">
      <c r="G612" s="13"/>
      <c r="I612" s="22"/>
    </row>
    <row r="613" spans="7:9">
      <c r="G613" s="13"/>
      <c r="I613" s="22"/>
    </row>
    <row r="614" spans="7:9">
      <c r="G614" s="13"/>
      <c r="I614" s="22"/>
    </row>
    <row r="615" spans="7:9">
      <c r="G615" s="13"/>
      <c r="I615" s="22"/>
    </row>
    <row r="616" spans="7:9">
      <c r="G616" s="13"/>
      <c r="I616" s="22"/>
    </row>
    <row r="617" spans="7:9">
      <c r="G617" s="13"/>
      <c r="I617" s="22"/>
    </row>
    <row r="618" spans="7:9">
      <c r="G618" s="13"/>
      <c r="I618" s="22"/>
    </row>
    <row r="619" spans="7:9">
      <c r="G619" s="13"/>
      <c r="I619" s="22"/>
    </row>
    <row r="620" spans="7:9">
      <c r="G620" s="13"/>
      <c r="I620" s="22"/>
    </row>
    <row r="621" spans="7:9">
      <c r="G621" s="13"/>
      <c r="I621" s="22"/>
    </row>
    <row r="622" spans="7:9">
      <c r="G622" s="13"/>
      <c r="I622" s="22"/>
    </row>
    <row r="623" spans="7:9">
      <c r="G623" s="13"/>
      <c r="I623" s="22"/>
    </row>
    <row r="624" spans="7:9">
      <c r="G624" s="13"/>
      <c r="I624" s="22"/>
    </row>
    <row r="625" spans="7:9">
      <c r="G625" s="13"/>
      <c r="I625" s="22"/>
    </row>
    <row r="626" spans="7:9">
      <c r="G626" s="13"/>
      <c r="I626" s="22"/>
    </row>
    <row r="627" spans="7:9">
      <c r="G627" s="13"/>
      <c r="I627" s="22"/>
    </row>
    <row r="628" spans="7:9">
      <c r="G628" s="13"/>
      <c r="I628" s="22"/>
    </row>
    <row r="629" spans="7:9">
      <c r="G629" s="13"/>
      <c r="I629" s="22"/>
    </row>
    <row r="630" spans="7:9">
      <c r="G630" s="13"/>
      <c r="I630" s="22"/>
    </row>
    <row r="631" spans="7:9">
      <c r="G631" s="13"/>
      <c r="I631" s="22"/>
    </row>
    <row r="632" spans="7:9">
      <c r="G632" s="13"/>
      <c r="I632" s="22"/>
    </row>
    <row r="633" spans="7:9">
      <c r="G633" s="13"/>
      <c r="I633" s="22"/>
    </row>
    <row r="634" spans="7:9">
      <c r="G634" s="13"/>
      <c r="I634" s="22"/>
    </row>
    <row r="635" spans="7:9">
      <c r="G635" s="13"/>
      <c r="I635" s="22"/>
    </row>
    <row r="636" spans="7:9">
      <c r="G636" s="13"/>
      <c r="I636" s="22"/>
    </row>
    <row r="637" spans="7:9">
      <c r="G637" s="13"/>
      <c r="I637" s="22"/>
    </row>
    <row r="638" spans="7:9">
      <c r="G638" s="13"/>
      <c r="I638" s="22"/>
    </row>
    <row r="639" spans="7:9">
      <c r="G639" s="13"/>
      <c r="I639" s="22"/>
    </row>
    <row r="640" spans="7:9">
      <c r="G640" s="13"/>
      <c r="I640" s="22"/>
    </row>
    <row r="641" spans="7:9">
      <c r="G641" s="13"/>
      <c r="I641" s="22"/>
    </row>
    <row r="642" spans="7:9">
      <c r="G642" s="13"/>
      <c r="I642" s="22"/>
    </row>
    <row r="643" spans="7:9">
      <c r="G643" s="13"/>
      <c r="I643" s="22"/>
    </row>
    <row r="644" spans="7:9">
      <c r="G644" s="13"/>
      <c r="I644" s="22"/>
    </row>
    <row r="645" spans="7:9">
      <c r="G645" s="13"/>
      <c r="I645" s="22"/>
    </row>
    <row r="646" spans="7:9">
      <c r="G646" s="13"/>
      <c r="I646" s="22"/>
    </row>
    <row r="647" spans="7:9">
      <c r="G647" s="13"/>
      <c r="I647" s="22"/>
    </row>
    <row r="648" spans="7:9">
      <c r="G648" s="13"/>
      <c r="I648" s="22"/>
    </row>
    <row r="649" spans="7:9">
      <c r="G649" s="13"/>
      <c r="I649" s="22"/>
    </row>
    <row r="650" spans="7:9">
      <c r="G650" s="13"/>
      <c r="I650" s="22"/>
    </row>
    <row r="651" spans="7:9">
      <c r="G651" s="13"/>
      <c r="I651" s="22"/>
    </row>
    <row r="652" spans="7:9">
      <c r="G652" s="13"/>
      <c r="I652" s="22"/>
    </row>
    <row r="653" spans="7:9">
      <c r="G653" s="13"/>
      <c r="I653" s="22"/>
    </row>
    <row r="654" spans="7:9">
      <c r="G654" s="13"/>
      <c r="I654" s="22"/>
    </row>
    <row r="655" spans="7:9">
      <c r="G655" s="13"/>
      <c r="I655" s="22"/>
    </row>
    <row r="656" spans="7:9">
      <c r="G656" s="13"/>
      <c r="I656" s="22"/>
    </row>
    <row r="657" spans="7:9">
      <c r="G657" s="13"/>
      <c r="I657" s="22"/>
    </row>
    <row r="658" spans="7:9">
      <c r="G658" s="13"/>
      <c r="I658" s="22"/>
    </row>
    <row r="659" spans="7:9">
      <c r="G659" s="13"/>
      <c r="I659" s="22"/>
    </row>
    <row r="660" spans="7:9">
      <c r="G660" s="13"/>
      <c r="I660" s="22"/>
    </row>
    <row r="661" spans="7:9">
      <c r="G661" s="13"/>
      <c r="I661" s="22"/>
    </row>
    <row r="662" spans="7:9">
      <c r="G662" s="13"/>
      <c r="I662" s="22"/>
    </row>
    <row r="663" spans="7:9">
      <c r="G663" s="13"/>
      <c r="I663" s="22"/>
    </row>
    <row r="664" spans="7:9">
      <c r="G664" s="13"/>
      <c r="I664" s="22"/>
    </row>
    <row r="665" spans="7:9">
      <c r="G665" s="13"/>
      <c r="I665" s="22"/>
    </row>
    <row r="666" spans="7:9">
      <c r="G666" s="13"/>
      <c r="I666" s="22"/>
    </row>
    <row r="667" spans="7:9">
      <c r="G667" s="13"/>
      <c r="I667" s="22"/>
    </row>
    <row r="668" spans="7:9">
      <c r="G668" s="13"/>
      <c r="I668" s="22"/>
    </row>
    <row r="669" spans="7:9">
      <c r="G669" s="13"/>
      <c r="I669" s="22"/>
    </row>
    <row r="670" spans="7:9">
      <c r="G670" s="13"/>
      <c r="I670" s="22"/>
    </row>
    <row r="671" spans="7:9">
      <c r="G671" s="13"/>
      <c r="I671" s="22"/>
    </row>
    <row r="672" spans="7:9">
      <c r="G672" s="13"/>
      <c r="I672" s="22"/>
    </row>
    <row r="673" spans="7:9">
      <c r="G673" s="13"/>
      <c r="I673" s="22"/>
    </row>
    <row r="674" spans="7:9">
      <c r="G674" s="13"/>
      <c r="I674" s="22"/>
    </row>
    <row r="675" spans="7:9">
      <c r="G675" s="13"/>
      <c r="I675" s="22"/>
    </row>
    <row r="676" spans="7:9">
      <c r="G676" s="13"/>
      <c r="I676" s="22"/>
    </row>
    <row r="677" spans="7:9">
      <c r="G677" s="13"/>
      <c r="I677" s="22"/>
    </row>
    <row r="678" spans="7:9">
      <c r="G678" s="13"/>
      <c r="I678" s="22"/>
    </row>
    <row r="679" spans="7:9">
      <c r="G679" s="13"/>
      <c r="I679" s="22"/>
    </row>
    <row r="680" spans="7:9">
      <c r="G680" s="13"/>
      <c r="I680" s="22"/>
    </row>
    <row r="681" spans="7:9">
      <c r="G681" s="13"/>
      <c r="I681" s="22"/>
    </row>
    <row r="682" spans="7:9">
      <c r="G682" s="13"/>
      <c r="I682" s="22"/>
    </row>
    <row r="683" spans="7:9">
      <c r="G683" s="13"/>
      <c r="I683" s="22"/>
    </row>
    <row r="684" spans="7:9">
      <c r="G684" s="13"/>
      <c r="I684" s="22"/>
    </row>
    <row r="685" spans="7:9">
      <c r="G685" s="13"/>
      <c r="I685" s="22"/>
    </row>
    <row r="686" spans="7:9">
      <c r="G686" s="13"/>
      <c r="I686" s="22"/>
    </row>
    <row r="687" spans="7:9">
      <c r="G687" s="13"/>
      <c r="I687" s="22"/>
    </row>
    <row r="688" spans="7:9">
      <c r="G688" s="13"/>
      <c r="I688" s="22"/>
    </row>
    <row r="689" spans="7:9">
      <c r="G689" s="13"/>
      <c r="I689" s="22"/>
    </row>
    <row r="690" spans="7:9">
      <c r="G690" s="13"/>
      <c r="I690" s="22"/>
    </row>
    <row r="691" spans="7:9">
      <c r="G691" s="13"/>
      <c r="I691" s="22"/>
    </row>
    <row r="692" spans="7:9">
      <c r="G692" s="13"/>
      <c r="I692" s="22"/>
    </row>
    <row r="693" spans="7:9">
      <c r="G693" s="13"/>
      <c r="I693" s="22"/>
    </row>
    <row r="694" spans="7:9">
      <c r="G694" s="13"/>
      <c r="I694" s="22"/>
    </row>
    <row r="695" spans="7:9">
      <c r="G695" s="13"/>
      <c r="I695" s="22"/>
    </row>
    <row r="696" spans="7:9">
      <c r="G696" s="13"/>
      <c r="I696" s="22"/>
    </row>
    <row r="697" spans="7:9">
      <c r="G697" s="13"/>
      <c r="I697" s="22"/>
    </row>
    <row r="698" spans="7:9">
      <c r="G698" s="13"/>
      <c r="I698" s="22"/>
    </row>
    <row r="699" spans="7:9">
      <c r="G699" s="13"/>
      <c r="I699" s="22"/>
    </row>
    <row r="700" spans="7:9">
      <c r="G700" s="13"/>
      <c r="I700" s="22"/>
    </row>
    <row r="701" spans="7:9">
      <c r="G701" s="13"/>
      <c r="I701" s="22"/>
    </row>
    <row r="702" spans="7:9">
      <c r="G702" s="13"/>
      <c r="I702" s="22"/>
    </row>
    <row r="703" spans="7:9">
      <c r="G703" s="13"/>
      <c r="I703" s="22"/>
    </row>
    <row r="704" spans="7:9">
      <c r="G704" s="13"/>
      <c r="I704" s="22"/>
    </row>
    <row r="705" spans="7:9">
      <c r="G705" s="13"/>
      <c r="I705" s="22"/>
    </row>
    <row r="706" spans="7:9">
      <c r="G706" s="13"/>
      <c r="I706" s="22"/>
    </row>
    <row r="707" spans="7:9">
      <c r="G707" s="13"/>
      <c r="I707" s="22"/>
    </row>
    <row r="708" spans="7:9">
      <c r="G708" s="13"/>
      <c r="I708" s="22"/>
    </row>
    <row r="709" spans="7:9">
      <c r="G709" s="13"/>
      <c r="I709" s="22"/>
    </row>
    <row r="710" spans="7:9">
      <c r="G710" s="13"/>
      <c r="I710" s="22"/>
    </row>
    <row r="711" spans="7:9">
      <c r="G711" s="13"/>
      <c r="I711" s="22"/>
    </row>
    <row r="712" spans="7:9">
      <c r="G712" s="13"/>
      <c r="I712" s="22"/>
    </row>
    <row r="713" spans="7:9">
      <c r="G713" s="13"/>
      <c r="I713" s="22"/>
    </row>
    <row r="714" spans="7:9">
      <c r="G714" s="13"/>
      <c r="I714" s="22"/>
    </row>
    <row r="715" spans="7:9">
      <c r="G715" s="13"/>
      <c r="I715" s="22"/>
    </row>
    <row r="716" spans="7:9">
      <c r="G716" s="13"/>
      <c r="I716" s="22"/>
    </row>
    <row r="717" spans="7:9">
      <c r="G717" s="13"/>
      <c r="I717" s="22"/>
    </row>
    <row r="718" spans="7:9">
      <c r="G718" s="13"/>
      <c r="I718" s="22"/>
    </row>
    <row r="719" spans="7:9">
      <c r="G719" s="13"/>
      <c r="I719" s="22"/>
    </row>
    <row r="720" spans="7:9">
      <c r="G720" s="13"/>
      <c r="I720" s="22"/>
    </row>
    <row r="721" spans="7:9">
      <c r="G721" s="13"/>
      <c r="I721" s="22"/>
    </row>
    <row r="722" spans="7:9">
      <c r="G722" s="13"/>
      <c r="I722" s="22"/>
    </row>
    <row r="723" spans="7:9">
      <c r="G723" s="13"/>
      <c r="I723" s="22"/>
    </row>
    <row r="724" spans="7:9">
      <c r="G724" s="13"/>
      <c r="I724" s="22"/>
    </row>
    <row r="725" spans="7:9">
      <c r="G725" s="13"/>
      <c r="I725" s="22"/>
    </row>
    <row r="726" spans="7:9">
      <c r="G726" s="13"/>
      <c r="I726" s="22"/>
    </row>
    <row r="727" spans="7:9">
      <c r="G727" s="13"/>
      <c r="I727" s="22"/>
    </row>
    <row r="728" spans="7:9">
      <c r="G728" s="13"/>
      <c r="I728" s="22"/>
    </row>
    <row r="729" spans="7:9">
      <c r="G729" s="13"/>
      <c r="I729" s="22"/>
    </row>
    <row r="730" spans="7:9">
      <c r="G730" s="13"/>
      <c r="I730" s="22"/>
    </row>
    <row r="731" spans="7:9">
      <c r="G731" s="13"/>
      <c r="I731" s="22"/>
    </row>
    <row r="732" spans="7:9">
      <c r="G732" s="13"/>
      <c r="I732" s="22"/>
    </row>
    <row r="733" spans="7:9">
      <c r="G733" s="13"/>
      <c r="I733" s="22"/>
    </row>
    <row r="734" spans="7:9">
      <c r="G734" s="13"/>
      <c r="I734" s="22"/>
    </row>
    <row r="735" spans="7:9">
      <c r="G735" s="13"/>
      <c r="I735" s="22"/>
    </row>
    <row r="736" spans="7:9">
      <c r="G736" s="13"/>
      <c r="I736" s="22"/>
    </row>
    <row r="737" spans="7:9">
      <c r="G737" s="13"/>
      <c r="I737" s="22"/>
    </row>
    <row r="738" spans="7:9">
      <c r="G738" s="13"/>
      <c r="I738" s="22"/>
    </row>
    <row r="739" spans="7:9">
      <c r="G739" s="13"/>
      <c r="I739" s="22"/>
    </row>
    <row r="740" spans="7:9">
      <c r="G740" s="13"/>
      <c r="I740" s="22"/>
    </row>
    <row r="741" spans="7:9">
      <c r="G741" s="13"/>
      <c r="I741" s="22"/>
    </row>
    <row r="742" spans="7:9">
      <c r="G742" s="13"/>
      <c r="I742" s="22"/>
    </row>
    <row r="743" spans="7:9">
      <c r="G743" s="13"/>
      <c r="I743" s="22"/>
    </row>
    <row r="744" spans="7:9">
      <c r="G744" s="13"/>
      <c r="I744" s="22"/>
    </row>
    <row r="745" spans="7:9">
      <c r="G745" s="13"/>
      <c r="I745" s="22"/>
    </row>
    <row r="746" spans="7:9">
      <c r="G746" s="13"/>
      <c r="I746" s="22"/>
    </row>
    <row r="747" spans="7:9">
      <c r="G747" s="13"/>
      <c r="I747" s="22"/>
    </row>
    <row r="748" spans="7:9">
      <c r="G748" s="13"/>
      <c r="I748" s="22"/>
    </row>
    <row r="749" spans="7:9">
      <c r="G749" s="13"/>
      <c r="I749" s="22"/>
    </row>
    <row r="750" spans="7:9">
      <c r="G750" s="13"/>
      <c r="I750" s="22"/>
    </row>
    <row r="751" spans="7:9">
      <c r="G751" s="13"/>
      <c r="I751" s="22"/>
    </row>
    <row r="752" spans="7:9">
      <c r="G752" s="13"/>
      <c r="I752" s="22"/>
    </row>
    <row r="753" spans="7:9">
      <c r="G753" s="13"/>
      <c r="I753" s="22"/>
    </row>
    <row r="754" spans="7:9">
      <c r="G754" s="13"/>
      <c r="I754" s="22"/>
    </row>
    <row r="755" spans="7:9">
      <c r="G755" s="13"/>
      <c r="I755" s="22"/>
    </row>
    <row r="756" spans="7:9">
      <c r="G756" s="13"/>
      <c r="I756" s="22"/>
    </row>
    <row r="757" spans="7:9">
      <c r="G757" s="13"/>
      <c r="I757" s="22"/>
    </row>
    <row r="758" spans="7:9">
      <c r="G758" s="13"/>
      <c r="I758" s="22"/>
    </row>
    <row r="759" spans="7:9">
      <c r="G759" s="13"/>
      <c r="I759" s="22"/>
    </row>
    <row r="760" spans="7:9">
      <c r="G760" s="13"/>
      <c r="I760" s="22"/>
    </row>
    <row r="761" spans="7:9">
      <c r="G761" s="13"/>
      <c r="I761" s="22"/>
    </row>
    <row r="762" spans="7:9">
      <c r="G762" s="13"/>
      <c r="I762" s="22"/>
    </row>
    <row r="763" spans="7:9">
      <c r="G763" s="13"/>
      <c r="I763" s="22"/>
    </row>
    <row r="764" spans="7:9">
      <c r="G764" s="13"/>
      <c r="I764" s="22"/>
    </row>
    <row r="765" spans="7:9">
      <c r="G765" s="13"/>
      <c r="I765" s="22"/>
    </row>
    <row r="766" spans="7:9">
      <c r="G766" s="13"/>
      <c r="I766" s="22"/>
    </row>
    <row r="767" spans="7:9">
      <c r="G767" s="13"/>
      <c r="I767" s="22"/>
    </row>
    <row r="768" spans="7:9">
      <c r="G768" s="13"/>
      <c r="I768" s="22"/>
    </row>
    <row r="769" spans="7:9">
      <c r="G769" s="13"/>
      <c r="I769" s="22"/>
    </row>
    <row r="770" spans="7:9">
      <c r="G770" s="13"/>
      <c r="I770" s="22"/>
    </row>
    <row r="771" spans="7:9">
      <c r="G771" s="13"/>
      <c r="I771" s="22"/>
    </row>
    <row r="772" spans="7:9">
      <c r="G772" s="13"/>
      <c r="I772" s="22"/>
    </row>
    <row r="773" spans="7:9">
      <c r="G773" s="13"/>
      <c r="I773" s="22"/>
    </row>
    <row r="774" spans="7:9">
      <c r="G774" s="13"/>
      <c r="I774" s="22"/>
    </row>
    <row r="775" spans="7:9">
      <c r="G775" s="13"/>
      <c r="I775" s="22"/>
    </row>
    <row r="776" spans="7:9">
      <c r="G776" s="13"/>
      <c r="I776" s="22"/>
    </row>
    <row r="777" spans="7:9">
      <c r="G777" s="13"/>
      <c r="I777" s="22"/>
    </row>
    <row r="778" spans="7:9">
      <c r="G778" s="13"/>
      <c r="I778" s="22"/>
    </row>
    <row r="779" spans="7:9">
      <c r="G779" s="13"/>
      <c r="I779" s="22"/>
    </row>
    <row r="780" spans="7:9">
      <c r="G780" s="13"/>
      <c r="I780" s="22"/>
    </row>
    <row r="781" spans="7:9">
      <c r="G781" s="13"/>
      <c r="I781" s="22"/>
    </row>
    <row r="782" spans="7:9">
      <c r="G782" s="13"/>
      <c r="I782" s="22"/>
    </row>
    <row r="783" spans="7:9">
      <c r="G783" s="13"/>
      <c r="I783" s="22"/>
    </row>
    <row r="784" spans="7:9">
      <c r="G784" s="13"/>
      <c r="I784" s="22"/>
    </row>
    <row r="785" spans="7:9">
      <c r="G785" s="13"/>
      <c r="I785" s="22"/>
    </row>
    <row r="786" spans="7:9">
      <c r="G786" s="13"/>
      <c r="I786" s="22"/>
    </row>
    <row r="787" spans="7:9">
      <c r="G787" s="13"/>
      <c r="I787" s="22"/>
    </row>
    <row r="788" spans="7:9">
      <c r="G788" s="13"/>
      <c r="I788" s="22"/>
    </row>
    <row r="789" spans="7:9">
      <c r="G789" s="13"/>
      <c r="I789" s="22"/>
    </row>
    <row r="790" spans="7:9">
      <c r="G790" s="13"/>
      <c r="I790" s="22"/>
    </row>
    <row r="791" spans="7:9">
      <c r="G791" s="13"/>
      <c r="I791" s="22"/>
    </row>
    <row r="792" spans="7:9">
      <c r="G792" s="13"/>
      <c r="I792" s="22"/>
    </row>
    <row r="793" spans="7:9">
      <c r="G793" s="13"/>
      <c r="I793" s="22"/>
    </row>
    <row r="794" spans="7:9">
      <c r="G794" s="13"/>
      <c r="I794" s="22"/>
    </row>
    <row r="795" spans="7:9">
      <c r="G795" s="13"/>
      <c r="I795" s="22"/>
    </row>
    <row r="796" spans="7:9">
      <c r="G796" s="13"/>
      <c r="I796" s="22"/>
    </row>
    <row r="797" spans="7:9">
      <c r="G797" s="13"/>
      <c r="I797" s="22"/>
    </row>
    <row r="798" spans="7:9">
      <c r="G798" s="13"/>
      <c r="I798" s="22"/>
    </row>
    <row r="799" spans="7:9">
      <c r="G799" s="13"/>
      <c r="I799" s="22"/>
    </row>
    <row r="800" spans="7:9">
      <c r="G800" s="13"/>
      <c r="I800" s="22"/>
    </row>
    <row r="801" spans="7:9">
      <c r="G801" s="13"/>
      <c r="I801" s="22"/>
    </row>
    <row r="802" spans="7:9">
      <c r="G802" s="13"/>
      <c r="I802" s="22"/>
    </row>
    <row r="803" spans="7:9">
      <c r="G803" s="13"/>
      <c r="I803" s="22"/>
    </row>
    <row r="804" spans="7:9">
      <c r="G804" s="13"/>
      <c r="I804" s="22"/>
    </row>
    <row r="805" spans="7:9">
      <c r="G805" s="13"/>
      <c r="I805" s="22"/>
    </row>
    <row r="806" spans="7:9">
      <c r="G806" s="13"/>
      <c r="I806" s="22"/>
    </row>
    <row r="807" spans="7:9">
      <c r="G807" s="13"/>
      <c r="I807" s="22"/>
    </row>
    <row r="808" spans="7:9">
      <c r="G808" s="13"/>
      <c r="I808" s="22"/>
    </row>
    <row r="809" spans="7:9">
      <c r="G809" s="13"/>
      <c r="I809" s="22"/>
    </row>
    <row r="810" spans="7:9">
      <c r="G810" s="13"/>
      <c r="I810" s="22"/>
    </row>
    <row r="811" spans="7:9">
      <c r="G811" s="13"/>
      <c r="I811" s="22"/>
    </row>
    <row r="812" spans="7:9">
      <c r="G812" s="13"/>
      <c r="I812" s="22"/>
    </row>
    <row r="813" spans="7:9">
      <c r="G813" s="13"/>
      <c r="I813" s="22"/>
    </row>
    <row r="814" spans="7:9">
      <c r="G814" s="13"/>
      <c r="I814" s="22"/>
    </row>
    <row r="815" spans="7:9">
      <c r="G815" s="13"/>
      <c r="I815" s="22"/>
    </row>
    <row r="816" spans="7:9">
      <c r="G816" s="13"/>
      <c r="I816" s="22"/>
    </row>
    <row r="817" spans="7:9">
      <c r="G817" s="13"/>
      <c r="I817" s="22"/>
    </row>
    <row r="818" spans="7:9">
      <c r="G818" s="13"/>
      <c r="I818" s="22"/>
    </row>
    <row r="819" spans="7:9">
      <c r="G819" s="13"/>
      <c r="I819" s="22"/>
    </row>
    <row r="820" spans="7:9">
      <c r="G820" s="13"/>
      <c r="I820" s="22"/>
    </row>
    <row r="821" spans="7:9">
      <c r="G821" s="13"/>
      <c r="I821" s="22"/>
    </row>
    <row r="822" spans="7:9">
      <c r="G822" s="13"/>
      <c r="I822" s="22"/>
    </row>
    <row r="823" spans="7:9">
      <c r="G823" s="13"/>
      <c r="I823" s="22"/>
    </row>
    <row r="824" spans="7:9">
      <c r="G824" s="13"/>
      <c r="I824" s="22"/>
    </row>
    <row r="825" spans="7:9">
      <c r="G825" s="13"/>
      <c r="I825" s="22"/>
    </row>
    <row r="826" spans="7:9">
      <c r="G826" s="13"/>
      <c r="I826" s="22"/>
    </row>
    <row r="827" spans="7:9">
      <c r="G827" s="13"/>
      <c r="I827" s="22"/>
    </row>
    <row r="828" spans="7:9">
      <c r="G828" s="13"/>
      <c r="I828" s="22"/>
    </row>
    <row r="829" spans="7:9">
      <c r="G829" s="13"/>
      <c r="I829" s="22"/>
    </row>
    <row r="830" spans="7:9">
      <c r="G830" s="13"/>
      <c r="I830" s="22"/>
    </row>
    <row r="831" spans="7:9">
      <c r="G831" s="13"/>
      <c r="I831" s="22"/>
    </row>
    <row r="832" spans="7:9">
      <c r="G832" s="13"/>
      <c r="I832" s="22"/>
    </row>
    <row r="833" spans="7:9">
      <c r="G833" s="13"/>
      <c r="I833" s="22"/>
    </row>
    <row r="834" spans="7:9">
      <c r="G834" s="13"/>
      <c r="I834" s="22"/>
    </row>
    <row r="835" spans="7:9">
      <c r="G835" s="13"/>
      <c r="I835" s="22"/>
    </row>
    <row r="836" spans="7:9">
      <c r="G836" s="13"/>
      <c r="I836" s="22"/>
    </row>
    <row r="837" spans="7:9">
      <c r="G837" s="13"/>
      <c r="I837" s="22"/>
    </row>
    <row r="838" spans="7:9">
      <c r="G838" s="13"/>
      <c r="I838" s="22"/>
    </row>
    <row r="839" spans="7:9">
      <c r="G839" s="13"/>
      <c r="I839" s="22"/>
    </row>
    <row r="840" spans="7:9">
      <c r="G840" s="13"/>
      <c r="I840" s="22"/>
    </row>
    <row r="841" spans="7:9">
      <c r="G841" s="13"/>
      <c r="I841" s="22"/>
    </row>
    <row r="842" spans="7:9">
      <c r="G842" s="13"/>
      <c r="I842" s="22"/>
    </row>
    <row r="843" spans="7:9">
      <c r="G843" s="13"/>
      <c r="I843" s="22"/>
    </row>
    <row r="844" spans="7:9">
      <c r="G844" s="13"/>
      <c r="I844" s="22"/>
    </row>
    <row r="845" spans="7:9">
      <c r="G845" s="13"/>
      <c r="I845" s="22"/>
    </row>
    <row r="846" spans="7:9">
      <c r="G846" s="13"/>
      <c r="I846" s="22"/>
    </row>
    <row r="847" spans="7:9">
      <c r="G847" s="13"/>
      <c r="I847" s="22"/>
    </row>
    <row r="848" spans="7:9">
      <c r="G848" s="13"/>
      <c r="I848" s="22"/>
    </row>
    <row r="849" spans="7:9">
      <c r="G849" s="13"/>
      <c r="I849" s="22"/>
    </row>
    <row r="850" spans="7:9">
      <c r="G850" s="13"/>
      <c r="I850" s="22"/>
    </row>
    <row r="851" spans="7:9">
      <c r="G851" s="13"/>
      <c r="I851" s="22"/>
    </row>
    <row r="852" spans="7:9">
      <c r="G852" s="13"/>
      <c r="I852" s="22"/>
    </row>
    <row r="853" spans="7:9">
      <c r="G853" s="13"/>
      <c r="I853" s="22"/>
    </row>
    <row r="854" spans="7:9">
      <c r="G854" s="13"/>
      <c r="I854" s="22"/>
    </row>
    <row r="855" spans="7:9">
      <c r="G855" s="13"/>
      <c r="I855" s="22"/>
    </row>
    <row r="856" spans="7:9">
      <c r="G856" s="13"/>
      <c r="I856" s="22"/>
    </row>
    <row r="857" spans="7:9">
      <c r="G857" s="13"/>
      <c r="I857" s="22"/>
    </row>
    <row r="858" spans="7:9">
      <c r="G858" s="13"/>
      <c r="I858" s="22"/>
    </row>
    <row r="859" spans="7:9">
      <c r="G859" s="13"/>
      <c r="I859" s="22"/>
    </row>
    <row r="860" spans="7:9">
      <c r="G860" s="13"/>
      <c r="I860" s="22"/>
    </row>
    <row r="861" spans="7:9">
      <c r="G861" s="13"/>
      <c r="I861" s="22"/>
    </row>
    <row r="862" spans="7:9">
      <c r="G862" s="13"/>
      <c r="I862" s="22"/>
    </row>
    <row r="863" spans="7:9">
      <c r="G863" s="13"/>
      <c r="I863" s="22"/>
    </row>
    <row r="864" spans="7:9">
      <c r="G864" s="13"/>
      <c r="I864" s="22"/>
    </row>
    <row r="865" spans="7:9">
      <c r="G865" s="13"/>
      <c r="I865" s="22"/>
    </row>
    <row r="866" spans="7:9">
      <c r="G866" s="13"/>
      <c r="I866" s="22"/>
    </row>
    <row r="867" spans="7:9">
      <c r="G867" s="13"/>
      <c r="I867" s="22"/>
    </row>
    <row r="868" spans="7:9">
      <c r="G868" s="13"/>
      <c r="I868" s="22"/>
    </row>
    <row r="869" spans="7:9">
      <c r="G869" s="13"/>
      <c r="I869" s="22"/>
    </row>
    <row r="870" spans="7:9">
      <c r="G870" s="13"/>
      <c r="I870" s="22"/>
    </row>
    <row r="871" spans="7:9">
      <c r="G871" s="13"/>
      <c r="I871" s="22"/>
    </row>
    <row r="872" spans="7:9">
      <c r="G872" s="13"/>
      <c r="I872" s="22"/>
    </row>
    <row r="873" spans="7:9">
      <c r="G873" s="13"/>
      <c r="I873" s="22"/>
    </row>
    <row r="874" spans="7:9">
      <c r="G874" s="13"/>
      <c r="I874" s="22"/>
    </row>
    <row r="875" spans="7:9">
      <c r="G875" s="13"/>
      <c r="I875" s="22"/>
    </row>
    <row r="876" spans="7:9">
      <c r="G876" s="13"/>
      <c r="I876" s="22"/>
    </row>
    <row r="877" spans="7:9">
      <c r="G877" s="13"/>
      <c r="I877" s="22"/>
    </row>
    <row r="878" spans="7:9">
      <c r="G878" s="13"/>
      <c r="I878" s="22"/>
    </row>
    <row r="879" spans="7:9">
      <c r="G879" s="13"/>
      <c r="I879" s="22"/>
    </row>
    <row r="880" spans="7:9">
      <c r="G880" s="13"/>
      <c r="I880" s="22"/>
    </row>
    <row r="881" spans="7:9">
      <c r="G881" s="13"/>
      <c r="I881" s="22"/>
    </row>
    <row r="882" spans="7:9">
      <c r="G882" s="13"/>
      <c r="I882" s="22"/>
    </row>
    <row r="883" spans="7:9">
      <c r="G883" s="13"/>
      <c r="I883" s="22"/>
    </row>
    <row r="884" spans="7:9">
      <c r="G884" s="13"/>
      <c r="I884" s="22"/>
    </row>
    <row r="885" spans="7:9">
      <c r="G885" s="13"/>
      <c r="I885" s="22"/>
    </row>
    <row r="886" spans="7:9">
      <c r="G886" s="13"/>
      <c r="I886" s="22"/>
    </row>
    <row r="887" spans="7:9">
      <c r="G887" s="13"/>
      <c r="I887" s="22"/>
    </row>
    <row r="888" spans="7:9">
      <c r="G888" s="13"/>
      <c r="I888" s="22"/>
    </row>
    <row r="889" spans="7:9">
      <c r="G889" s="13"/>
      <c r="I889" s="22"/>
    </row>
    <row r="890" spans="7:9">
      <c r="G890" s="13"/>
      <c r="I890" s="22"/>
    </row>
    <row r="891" spans="7:9">
      <c r="G891" s="13"/>
      <c r="I891" s="22"/>
    </row>
    <row r="892" spans="7:9">
      <c r="G892" s="13"/>
      <c r="I892" s="22"/>
    </row>
    <row r="893" spans="7:9">
      <c r="G893" s="13"/>
      <c r="I893" s="22"/>
    </row>
    <row r="894" spans="7:9">
      <c r="G894" s="13"/>
      <c r="I894" s="22"/>
    </row>
    <row r="895" spans="7:9">
      <c r="G895" s="13"/>
      <c r="I895" s="22"/>
    </row>
    <row r="896" spans="7:9">
      <c r="G896" s="13"/>
      <c r="I896" s="22"/>
    </row>
    <row r="897" spans="7:9">
      <c r="G897" s="13"/>
      <c r="I897" s="22"/>
    </row>
    <row r="898" spans="7:9">
      <c r="G898" s="13"/>
      <c r="I898" s="22"/>
    </row>
    <row r="899" spans="7:9">
      <c r="G899" s="13"/>
      <c r="I899" s="22"/>
    </row>
    <row r="900" spans="7:9">
      <c r="G900" s="13"/>
      <c r="I900" s="22"/>
    </row>
    <row r="901" spans="7:9">
      <c r="G901" s="13"/>
      <c r="I901" s="22"/>
    </row>
    <row r="902" spans="7:9">
      <c r="G902" s="13"/>
      <c r="I902" s="22"/>
    </row>
    <row r="903" spans="7:9">
      <c r="G903" s="13"/>
      <c r="I903" s="22"/>
    </row>
    <row r="904" spans="7:9">
      <c r="G904" s="13"/>
      <c r="I904" s="22"/>
    </row>
    <row r="905" spans="7:9">
      <c r="G905" s="13"/>
      <c r="I905" s="22"/>
    </row>
    <row r="906" spans="7:9">
      <c r="G906" s="13"/>
      <c r="I906" s="22"/>
    </row>
    <row r="907" spans="7:9">
      <c r="G907" s="13"/>
      <c r="I907" s="22"/>
    </row>
    <row r="908" spans="7:9">
      <c r="G908" s="13"/>
      <c r="I908" s="22"/>
    </row>
    <row r="909" spans="7:9">
      <c r="G909" s="13"/>
      <c r="I909" s="22"/>
    </row>
    <row r="910" spans="7:9">
      <c r="G910" s="13"/>
      <c r="I910" s="22"/>
    </row>
    <row r="911" spans="7:9">
      <c r="G911" s="13"/>
      <c r="I911" s="22"/>
    </row>
    <row r="912" spans="7:9">
      <c r="G912" s="13"/>
      <c r="I912" s="22"/>
    </row>
    <row r="913" spans="7:9">
      <c r="G913" s="13"/>
      <c r="I913" s="22"/>
    </row>
    <row r="914" spans="7:9">
      <c r="G914" s="13"/>
      <c r="I914" s="22"/>
    </row>
    <row r="915" spans="7:9">
      <c r="G915" s="13"/>
      <c r="I915" s="22"/>
    </row>
    <row r="916" spans="7:9">
      <c r="G916" s="13"/>
      <c r="I916" s="22"/>
    </row>
    <row r="917" spans="7:9">
      <c r="G917" s="13"/>
      <c r="I917" s="22"/>
    </row>
    <row r="918" spans="7:9">
      <c r="G918" s="13"/>
      <c r="I918" s="22"/>
    </row>
    <row r="919" spans="7:9">
      <c r="G919" s="13"/>
      <c r="I919" s="22"/>
    </row>
    <row r="920" spans="7:9">
      <c r="G920" s="13"/>
      <c r="I920" s="22"/>
    </row>
    <row r="921" spans="7:9">
      <c r="G921" s="13"/>
      <c r="I921" s="22"/>
    </row>
    <row r="922" spans="7:9">
      <c r="G922" s="13"/>
      <c r="I922" s="22"/>
    </row>
    <row r="923" spans="7:9">
      <c r="G923" s="13"/>
      <c r="I923" s="22"/>
    </row>
    <row r="924" spans="7:9">
      <c r="G924" s="13"/>
      <c r="I924" s="22"/>
    </row>
    <row r="925" spans="7:9">
      <c r="G925" s="13"/>
      <c r="I925" s="22"/>
    </row>
    <row r="926" spans="7:9">
      <c r="G926" s="13"/>
      <c r="I926" s="22"/>
    </row>
    <row r="927" spans="7:9">
      <c r="G927" s="13"/>
      <c r="I927" s="22"/>
    </row>
    <row r="928" spans="7:9">
      <c r="G928" s="13"/>
      <c r="I928" s="22"/>
    </row>
    <row r="929" spans="7:9">
      <c r="G929" s="13"/>
      <c r="I929" s="22"/>
    </row>
    <row r="930" spans="7:9">
      <c r="G930" s="13"/>
      <c r="I930" s="22"/>
    </row>
    <row r="931" spans="7:9">
      <c r="G931" s="13"/>
      <c r="I931" s="22"/>
    </row>
    <row r="932" spans="7:9">
      <c r="G932" s="13"/>
      <c r="I932" s="22"/>
    </row>
    <row r="933" spans="7:9">
      <c r="G933" s="13"/>
      <c r="I933" s="22"/>
    </row>
    <row r="934" spans="7:9">
      <c r="G934" s="13"/>
      <c r="I934" s="22"/>
    </row>
    <row r="935" spans="7:9">
      <c r="G935" s="13"/>
      <c r="I935" s="22"/>
    </row>
    <row r="936" spans="7:9">
      <c r="G936" s="13"/>
      <c r="I936" s="22"/>
    </row>
    <row r="937" spans="7:9">
      <c r="G937" s="13"/>
      <c r="I937" s="22"/>
    </row>
    <row r="938" spans="7:9">
      <c r="G938" s="13"/>
      <c r="I938" s="22"/>
    </row>
    <row r="939" spans="7:9">
      <c r="G939" s="13"/>
      <c r="I939" s="22"/>
    </row>
    <row r="940" spans="7:9">
      <c r="G940" s="13"/>
      <c r="I940" s="22"/>
    </row>
    <row r="941" spans="7:9">
      <c r="G941" s="13"/>
      <c r="I941" s="22"/>
    </row>
    <row r="942" spans="7:9">
      <c r="G942" s="13"/>
      <c r="I942" s="22"/>
    </row>
    <row r="943" spans="7:9">
      <c r="G943" s="13"/>
      <c r="I943" s="22"/>
    </row>
    <row r="944" spans="7:9">
      <c r="G944" s="13"/>
      <c r="I944" s="22"/>
    </row>
    <row r="945" spans="7:9">
      <c r="G945" s="13"/>
      <c r="I945" s="22"/>
    </row>
    <row r="946" spans="7:9">
      <c r="G946" s="13"/>
      <c r="I946" s="22"/>
    </row>
    <row r="947" spans="7:9">
      <c r="G947" s="13"/>
      <c r="I947" s="22"/>
    </row>
    <row r="948" spans="7:9">
      <c r="G948" s="13"/>
      <c r="I948" s="22"/>
    </row>
    <row r="949" spans="7:9">
      <c r="G949" s="13"/>
      <c r="I949" s="22"/>
    </row>
    <row r="950" spans="7:9">
      <c r="G950" s="13"/>
      <c r="I950" s="22"/>
    </row>
    <row r="951" spans="7:9">
      <c r="G951" s="13"/>
      <c r="I951" s="22"/>
    </row>
    <row r="952" spans="7:9">
      <c r="G952" s="13"/>
      <c r="I952" s="22"/>
    </row>
    <row r="953" spans="7:9">
      <c r="G953" s="13"/>
      <c r="I953" s="22"/>
    </row>
    <row r="954" spans="7:9">
      <c r="G954" s="13"/>
      <c r="I954" s="22"/>
    </row>
    <row r="955" spans="7:9">
      <c r="G955" s="13"/>
      <c r="I955" s="22"/>
    </row>
    <row r="956" spans="7:9">
      <c r="G956" s="13"/>
      <c r="I956" s="22"/>
    </row>
    <row r="957" spans="7:9">
      <c r="G957" s="13"/>
      <c r="I957" s="22"/>
    </row>
    <row r="958" spans="7:9">
      <c r="G958" s="13"/>
      <c r="I958" s="22"/>
    </row>
    <row r="959" spans="7:9">
      <c r="G959" s="13"/>
      <c r="I959" s="22"/>
    </row>
    <row r="960" spans="7:9">
      <c r="G960" s="13"/>
      <c r="I960" s="22"/>
    </row>
    <row r="961" spans="7:9">
      <c r="G961" s="13"/>
      <c r="I961" s="22"/>
    </row>
    <row r="962" spans="7:9">
      <c r="G962" s="13"/>
      <c r="I962" s="22"/>
    </row>
    <row r="963" spans="7:9">
      <c r="G963" s="13"/>
      <c r="I963" s="22"/>
    </row>
    <row r="964" spans="7:9">
      <c r="G964" s="13"/>
      <c r="I964" s="22"/>
    </row>
    <row r="965" spans="7:9">
      <c r="G965" s="13"/>
      <c r="I965" s="22"/>
    </row>
    <row r="966" spans="7:9">
      <c r="G966" s="13"/>
      <c r="I966" s="22"/>
    </row>
    <row r="967" spans="7:9">
      <c r="G967" s="13"/>
      <c r="I967" s="22"/>
    </row>
    <row r="968" spans="7:9">
      <c r="G968" s="13"/>
      <c r="I968" s="22"/>
    </row>
    <row r="969" spans="7:9">
      <c r="G969" s="13"/>
      <c r="I969" s="22"/>
    </row>
    <row r="970" spans="7:9">
      <c r="G970" s="13"/>
      <c r="I970" s="22"/>
    </row>
    <row r="971" spans="7:9">
      <c r="G971" s="13"/>
      <c r="I971" s="22"/>
    </row>
    <row r="972" spans="7:9">
      <c r="G972" s="13"/>
      <c r="I972" s="22"/>
    </row>
    <row r="973" spans="7:9">
      <c r="G973" s="13"/>
      <c r="I973" s="22"/>
    </row>
    <row r="974" spans="7:9">
      <c r="G974" s="13"/>
      <c r="I974" s="22"/>
    </row>
    <row r="975" spans="7:9">
      <c r="G975" s="13"/>
      <c r="I975" s="22"/>
    </row>
    <row r="976" spans="7:9">
      <c r="G976" s="13"/>
      <c r="I976" s="22"/>
    </row>
    <row r="977" spans="7:9">
      <c r="G977" s="13"/>
      <c r="I977" s="22"/>
    </row>
    <row r="978" spans="7:9">
      <c r="G978" s="13"/>
      <c r="I978" s="22"/>
    </row>
    <row r="979" spans="7:9">
      <c r="G979" s="13"/>
      <c r="I979" s="22"/>
    </row>
    <row r="980" spans="7:9">
      <c r="G980" s="13"/>
      <c r="I980" s="22"/>
    </row>
    <row r="981" spans="7:9">
      <c r="G981" s="13"/>
      <c r="I981" s="22"/>
    </row>
    <row r="982" spans="7:9">
      <c r="G982" s="13"/>
      <c r="I982" s="22"/>
    </row>
    <row r="983" spans="7:9">
      <c r="G983" s="13"/>
      <c r="I983" s="22"/>
    </row>
    <row r="984" spans="7:9">
      <c r="G984" s="13"/>
      <c r="I984" s="22"/>
    </row>
    <row r="985" spans="7:9">
      <c r="G985" s="13"/>
      <c r="I985" s="22"/>
    </row>
    <row r="986" spans="7:9">
      <c r="G986" s="13"/>
      <c r="I986" s="22"/>
    </row>
    <row r="987" spans="7:9">
      <c r="G987" s="13"/>
      <c r="I987" s="22"/>
    </row>
    <row r="988" spans="7:9">
      <c r="G988" s="13"/>
      <c r="I988" s="22"/>
    </row>
    <row r="989" spans="7:9">
      <c r="G989" s="13"/>
      <c r="I989" s="22"/>
    </row>
    <row r="990" spans="7:9">
      <c r="G990" s="13"/>
      <c r="I990" s="22"/>
    </row>
    <row r="991" spans="7:9">
      <c r="G991" s="13"/>
      <c r="I991" s="22"/>
    </row>
    <row r="992" spans="7:9">
      <c r="G992" s="13"/>
      <c r="I992" s="22"/>
    </row>
    <row r="993" spans="7:9">
      <c r="G993" s="13"/>
      <c r="I993" s="22"/>
    </row>
    <row r="994" spans="7:9">
      <c r="G994" s="13"/>
      <c r="I994" s="22"/>
    </row>
    <row r="995" spans="7:9">
      <c r="G995" s="13"/>
      <c r="I995" s="22"/>
    </row>
    <row r="996" spans="7:9">
      <c r="G996" s="13"/>
      <c r="I996" s="22"/>
    </row>
    <row r="997" spans="7:9">
      <c r="G997" s="13"/>
      <c r="I997" s="22"/>
    </row>
    <row r="998" spans="7:9">
      <c r="G998" s="13"/>
      <c r="I998" s="22"/>
    </row>
    <row r="999" spans="7:9">
      <c r="G999" s="13"/>
      <c r="I999" s="22"/>
    </row>
    <row r="1000" spans="7:9">
      <c r="G1000" s="13"/>
      <c r="I1000" s="22"/>
    </row>
    <row r="1001" spans="7:9">
      <c r="G1001" s="13"/>
      <c r="I1001" s="22"/>
    </row>
    <row r="1002" spans="7:9">
      <c r="G1002" s="13"/>
      <c r="I1002" s="22"/>
    </row>
    <row r="1003" spans="7:9">
      <c r="G1003" s="13"/>
      <c r="I1003" s="22"/>
    </row>
    <row r="1004" spans="7:9">
      <c r="G1004" s="13"/>
      <c r="I1004" s="22"/>
    </row>
    <row r="1005" spans="7:9">
      <c r="G1005" s="13"/>
      <c r="I1005" s="22"/>
    </row>
    <row r="1006" spans="7:9">
      <c r="G1006" s="13"/>
      <c r="I1006" s="22"/>
    </row>
  </sheetData>
  <autoFilter ref="A2:T37" xr:uid="{00000000-0009-0000-0000-000000000000}"/>
  <mergeCells count="4">
    <mergeCell ref="A1:N1"/>
    <mergeCell ref="P1:Q1"/>
    <mergeCell ref="R1:S1"/>
    <mergeCell ref="U1:V1"/>
  </mergeCells>
  <conditionalFormatting sqref="A1:A1006">
    <cfRule type="containsText" dxfId="44" priority="6" operator="containsText" text="2024">
      <formula>NOT(ISERROR(SEARCH(("2024"),(A1))))</formula>
    </cfRule>
    <cfRule type="containsText" dxfId="43" priority="7" operator="containsText" text="2025">
      <formula>NOT(ISERROR(SEARCH(("2025"),(A1))))</formula>
    </cfRule>
    <cfRule type="containsText" dxfId="42" priority="8" operator="containsText" text="2026">
      <formula>NOT(ISERROR(SEARCH(("2026"),(A1))))</formula>
    </cfRule>
  </conditionalFormatting>
  <conditionalFormatting sqref="P3:P37">
    <cfRule type="containsText" dxfId="41" priority="3" operator="containsText" text="SIM">
      <formula>NOT(ISERROR(SEARCH(("SIM"),(P3))))</formula>
    </cfRule>
    <cfRule type="containsText" dxfId="40" priority="4" operator="containsText" text="NÃO">
      <formula>NOT(ISERROR(SEARCH(("NÃO"),(P3))))</formula>
    </cfRule>
  </conditionalFormatting>
  <conditionalFormatting sqref="R40">
    <cfRule type="containsText" dxfId="39" priority="5" operator="containsText" text="false">
      <formula>NOT(ISERROR(SEARCH(("false"),(R40))))</formula>
    </cfRule>
  </conditionalFormatting>
  <conditionalFormatting sqref="R3:S37">
    <cfRule type="containsText" dxfId="38" priority="1" operator="containsText" text="SIM">
      <formula>NOT(ISERROR(SEARCH(("SIM"),(R3))))</formula>
    </cfRule>
    <cfRule type="containsText" dxfId="37" priority="2" operator="containsText" text="NÃO">
      <formula>NOT(ISERROR(SEARCH(("NÃO"),(R3))))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155CC"/>
    <outlinePr summaryBelow="0" summaryRight="0"/>
    <pageSetUpPr fitToPage="1"/>
  </sheetPr>
  <dimension ref="A1:Z1000"/>
  <sheetViews>
    <sheetView showGridLines="0" workbookViewId="0"/>
  </sheetViews>
  <sheetFormatPr defaultColWidth="11.25" defaultRowHeight="15.75" customHeight="1"/>
  <cols>
    <col min="1" max="1" width="9.875" customWidth="1"/>
    <col min="2" max="2" width="71.75" customWidth="1"/>
    <col min="3" max="3" width="21.375" customWidth="1"/>
    <col min="4" max="4" width="16.75" customWidth="1"/>
    <col min="5" max="5" width="27.875" customWidth="1"/>
    <col min="6" max="6" width="18.375" customWidth="1"/>
    <col min="7" max="7" width="25.5" customWidth="1"/>
    <col min="8" max="8" width="14.5" customWidth="1"/>
    <col min="9" max="9" width="8.625" customWidth="1"/>
    <col min="10" max="10" width="71.75" customWidth="1"/>
    <col min="11" max="11" width="23.5" customWidth="1"/>
    <col min="12" max="12" width="87" customWidth="1"/>
    <col min="13" max="13" width="11.25" hidden="1"/>
    <col min="16" max="16" width="71.75" customWidth="1"/>
    <col min="17" max="17" width="21.375" customWidth="1"/>
    <col min="18" max="19" width="22.25" customWidth="1"/>
    <col min="22" max="22" width="6.875" customWidth="1"/>
    <col min="23" max="23" width="17.75" customWidth="1"/>
    <col min="24" max="24" width="23.5" customWidth="1"/>
    <col min="25" max="25" width="69.5" customWidth="1"/>
    <col min="26" max="26" width="11.25" hidden="1"/>
  </cols>
  <sheetData>
    <row r="1" spans="1:25">
      <c r="A1" s="55"/>
      <c r="B1" s="67"/>
      <c r="C1" s="67"/>
      <c r="D1" s="56" t="s">
        <v>468</v>
      </c>
      <c r="E1" s="67"/>
      <c r="F1" s="67"/>
      <c r="G1" s="57"/>
      <c r="H1" s="11"/>
      <c r="I1" s="56" t="s">
        <v>5</v>
      </c>
      <c r="J1" s="56" t="s">
        <v>6</v>
      </c>
      <c r="K1" s="56" t="s">
        <v>8</v>
      </c>
      <c r="L1" s="70" t="s">
        <v>24</v>
      </c>
      <c r="O1" s="55"/>
      <c r="P1" s="67"/>
      <c r="Q1" s="67"/>
      <c r="R1" s="56" t="s">
        <v>468</v>
      </c>
      <c r="S1" s="57"/>
      <c r="V1" s="56" t="s">
        <v>5</v>
      </c>
      <c r="W1" s="56" t="s">
        <v>13</v>
      </c>
      <c r="X1" s="56" t="s">
        <v>8</v>
      </c>
      <c r="Y1" s="70" t="s">
        <v>6</v>
      </c>
    </row>
    <row r="2" spans="1:25">
      <c r="A2" s="56" t="s">
        <v>5</v>
      </c>
      <c r="B2" s="56" t="s">
        <v>6</v>
      </c>
      <c r="C2" s="56" t="s">
        <v>8</v>
      </c>
      <c r="D2" s="55" t="s">
        <v>18</v>
      </c>
      <c r="E2" s="73" t="s">
        <v>17</v>
      </c>
      <c r="F2" s="73" t="s">
        <v>19</v>
      </c>
      <c r="G2" s="58" t="s">
        <v>21</v>
      </c>
      <c r="I2" s="55">
        <v>2025</v>
      </c>
      <c r="J2" s="55" t="s">
        <v>274</v>
      </c>
      <c r="K2" s="55" t="s">
        <v>276</v>
      </c>
      <c r="L2" s="71" t="s">
        <v>470</v>
      </c>
      <c r="O2" s="56" t="s">
        <v>5</v>
      </c>
      <c r="P2" s="56" t="s">
        <v>6</v>
      </c>
      <c r="Q2" s="56" t="s">
        <v>8</v>
      </c>
      <c r="R2" s="55" t="s">
        <v>15</v>
      </c>
      <c r="S2" s="58" t="s">
        <v>204</v>
      </c>
      <c r="V2" s="55">
        <v>2025</v>
      </c>
      <c r="W2" s="55">
        <v>5400020250017</v>
      </c>
      <c r="X2" s="55" t="s">
        <v>218</v>
      </c>
      <c r="Y2" s="71" t="s">
        <v>217</v>
      </c>
    </row>
    <row r="3" spans="1:25">
      <c r="A3" s="55">
        <v>2025</v>
      </c>
      <c r="B3" s="55" t="s">
        <v>274</v>
      </c>
      <c r="C3" s="55" t="s">
        <v>276</v>
      </c>
      <c r="D3" s="59">
        <v>450500</v>
      </c>
      <c r="E3" s="74">
        <v>450000</v>
      </c>
      <c r="F3" s="74">
        <v>450000</v>
      </c>
      <c r="G3" s="60"/>
      <c r="I3" s="68"/>
      <c r="J3" s="55" t="s">
        <v>150</v>
      </c>
      <c r="K3" s="55" t="s">
        <v>152</v>
      </c>
      <c r="L3" s="71" t="s">
        <v>165</v>
      </c>
      <c r="O3" s="55">
        <v>2024</v>
      </c>
      <c r="P3" s="55" t="s">
        <v>56</v>
      </c>
      <c r="Q3" s="55" t="s">
        <v>59</v>
      </c>
      <c r="R3" s="59">
        <v>45657</v>
      </c>
      <c r="S3" s="60">
        <v>46386</v>
      </c>
      <c r="V3" s="68"/>
      <c r="W3" s="68"/>
      <c r="X3" s="55" t="s">
        <v>115</v>
      </c>
      <c r="Y3" s="71" t="s">
        <v>113</v>
      </c>
    </row>
    <row r="4" spans="1:25">
      <c r="A4" s="68"/>
      <c r="B4" s="55" t="s">
        <v>150</v>
      </c>
      <c r="C4" s="55" t="s">
        <v>152</v>
      </c>
      <c r="D4" s="59">
        <v>500500.5</v>
      </c>
      <c r="E4" s="74">
        <v>500000</v>
      </c>
      <c r="F4" s="74">
        <v>500000</v>
      </c>
      <c r="G4" s="60"/>
      <c r="I4" s="68"/>
      <c r="J4" s="55" t="s">
        <v>293</v>
      </c>
      <c r="K4" s="55" t="s">
        <v>295</v>
      </c>
      <c r="L4" s="71" t="s">
        <v>470</v>
      </c>
      <c r="O4" s="68"/>
      <c r="P4" s="55" t="s">
        <v>28</v>
      </c>
      <c r="Q4" s="55" t="s">
        <v>30</v>
      </c>
      <c r="R4" s="59">
        <v>45639</v>
      </c>
      <c r="S4" s="60">
        <v>46551</v>
      </c>
      <c r="V4" s="68"/>
      <c r="W4" s="68"/>
      <c r="X4" s="55" t="s">
        <v>268</v>
      </c>
      <c r="Y4" s="71" t="s">
        <v>266</v>
      </c>
    </row>
    <row r="5" spans="1:25">
      <c r="A5" s="68"/>
      <c r="B5" s="55" t="s">
        <v>293</v>
      </c>
      <c r="C5" s="55" t="s">
        <v>295</v>
      </c>
      <c r="D5" s="59">
        <v>10030000</v>
      </c>
      <c r="E5" s="74">
        <v>10000000</v>
      </c>
      <c r="F5" s="74">
        <v>10000000</v>
      </c>
      <c r="G5" s="60"/>
      <c r="I5" s="68"/>
      <c r="J5" s="55" t="s">
        <v>217</v>
      </c>
      <c r="K5" s="55" t="s">
        <v>218</v>
      </c>
      <c r="L5" s="71" t="s">
        <v>470</v>
      </c>
      <c r="O5" s="68"/>
      <c r="P5" s="55" t="s">
        <v>47</v>
      </c>
      <c r="Q5" s="55" t="s">
        <v>49</v>
      </c>
      <c r="R5" s="59">
        <v>45644</v>
      </c>
      <c r="S5" s="60">
        <v>46739</v>
      </c>
      <c r="V5" s="68"/>
      <c r="W5" s="68"/>
      <c r="X5" s="55" t="s">
        <v>297</v>
      </c>
      <c r="Y5" s="71" t="s">
        <v>296</v>
      </c>
    </row>
    <row r="6" spans="1:25">
      <c r="A6" s="68"/>
      <c r="B6" s="55" t="s">
        <v>217</v>
      </c>
      <c r="C6" s="55" t="s">
        <v>218</v>
      </c>
      <c r="D6" s="59">
        <v>451000</v>
      </c>
      <c r="E6" s="74">
        <v>450000</v>
      </c>
      <c r="F6" s="74">
        <v>450000</v>
      </c>
      <c r="G6" s="60"/>
      <c r="I6" s="68"/>
      <c r="J6" s="55" t="s">
        <v>121</v>
      </c>
      <c r="K6" s="55" t="s">
        <v>122</v>
      </c>
      <c r="L6" s="71" t="s">
        <v>130</v>
      </c>
      <c r="O6" s="68"/>
      <c r="P6" s="55" t="s">
        <v>39</v>
      </c>
      <c r="Q6" s="55" t="s">
        <v>40</v>
      </c>
      <c r="R6" s="59">
        <v>45649</v>
      </c>
      <c r="S6" s="60">
        <v>46387</v>
      </c>
      <c r="V6" s="68"/>
      <c r="W6" s="68"/>
      <c r="X6" s="55" t="s">
        <v>137</v>
      </c>
      <c r="Y6" s="71" t="s">
        <v>134</v>
      </c>
    </row>
    <row r="7" spans="1:25">
      <c r="A7" s="68"/>
      <c r="B7" s="55" t="s">
        <v>121</v>
      </c>
      <c r="C7" s="55" t="s">
        <v>122</v>
      </c>
      <c r="D7" s="59">
        <v>1301400</v>
      </c>
      <c r="E7" s="74">
        <v>1300000</v>
      </c>
      <c r="F7" s="74">
        <v>1300000</v>
      </c>
      <c r="G7" s="60"/>
      <c r="I7" s="68"/>
      <c r="J7" s="55" t="s">
        <v>180</v>
      </c>
      <c r="K7" s="55" t="s">
        <v>182</v>
      </c>
      <c r="L7" s="71" t="s">
        <v>187</v>
      </c>
      <c r="O7" s="55">
        <v>2025</v>
      </c>
      <c r="P7" s="55" t="s">
        <v>274</v>
      </c>
      <c r="Q7" s="55" t="s">
        <v>276</v>
      </c>
      <c r="R7" s="59">
        <v>46007</v>
      </c>
      <c r="S7" s="60">
        <v>46504</v>
      </c>
      <c r="V7" s="68"/>
      <c r="W7" s="68"/>
      <c r="X7" s="55" t="s">
        <v>276</v>
      </c>
      <c r="Y7" s="71" t="s">
        <v>274</v>
      </c>
    </row>
    <row r="8" spans="1:25">
      <c r="A8" s="68"/>
      <c r="B8" s="55" t="s">
        <v>180</v>
      </c>
      <c r="C8" s="55" t="s">
        <v>182</v>
      </c>
      <c r="D8" s="59">
        <v>452000</v>
      </c>
      <c r="E8" s="74">
        <v>450000</v>
      </c>
      <c r="F8" s="74">
        <v>450000</v>
      </c>
      <c r="G8" s="60"/>
      <c r="I8" s="68"/>
      <c r="J8" s="55" t="s">
        <v>322</v>
      </c>
      <c r="K8" s="55" t="s">
        <v>323</v>
      </c>
      <c r="L8" s="71" t="s">
        <v>332</v>
      </c>
      <c r="O8" s="68"/>
      <c r="P8" s="55" t="s">
        <v>150</v>
      </c>
      <c r="Q8" s="55" t="s">
        <v>152</v>
      </c>
      <c r="R8" s="59">
        <v>46021</v>
      </c>
      <c r="S8" s="60">
        <v>46752</v>
      </c>
      <c r="V8" s="68"/>
      <c r="W8" s="68"/>
      <c r="X8" s="55" t="s">
        <v>317</v>
      </c>
      <c r="Y8" s="71" t="s">
        <v>316</v>
      </c>
    </row>
    <row r="9" spans="1:25">
      <c r="A9" s="68"/>
      <c r="B9" s="55" t="s">
        <v>322</v>
      </c>
      <c r="C9" s="55" t="s">
        <v>323</v>
      </c>
      <c r="D9" s="59">
        <v>1734000</v>
      </c>
      <c r="E9" s="74">
        <v>1700000</v>
      </c>
      <c r="F9" s="74">
        <v>1700000</v>
      </c>
      <c r="G9" s="60"/>
      <c r="I9" s="68"/>
      <c r="J9" s="55" t="s">
        <v>253</v>
      </c>
      <c r="K9" s="55" t="s">
        <v>255</v>
      </c>
      <c r="L9" s="71" t="s">
        <v>259</v>
      </c>
      <c r="O9" s="68"/>
      <c r="P9" s="55" t="s">
        <v>293</v>
      </c>
      <c r="Q9" s="55" t="s">
        <v>295</v>
      </c>
      <c r="R9" s="59">
        <v>46015</v>
      </c>
      <c r="S9" s="60">
        <v>46745</v>
      </c>
      <c r="V9" s="68"/>
      <c r="W9" s="68"/>
      <c r="X9" s="55" t="s">
        <v>82</v>
      </c>
      <c r="Y9" s="71" t="s">
        <v>80</v>
      </c>
    </row>
    <row r="10" spans="1:25">
      <c r="A10" s="68"/>
      <c r="B10" s="55" t="s">
        <v>253</v>
      </c>
      <c r="C10" s="55" t="s">
        <v>255</v>
      </c>
      <c r="D10" s="59">
        <v>379820</v>
      </c>
      <c r="E10" s="74">
        <v>370000</v>
      </c>
      <c r="F10" s="74">
        <v>370000</v>
      </c>
      <c r="G10" s="60"/>
      <c r="I10" s="68"/>
      <c r="J10" s="55" t="s">
        <v>168</v>
      </c>
      <c r="K10" s="55" t="s">
        <v>169</v>
      </c>
      <c r="L10" s="71" t="s">
        <v>470</v>
      </c>
      <c r="O10" s="68"/>
      <c r="P10" s="55" t="s">
        <v>217</v>
      </c>
      <c r="Q10" s="55" t="s">
        <v>218</v>
      </c>
      <c r="R10" s="59">
        <v>46007</v>
      </c>
      <c r="S10" s="60">
        <v>46737</v>
      </c>
      <c r="V10" s="68"/>
      <c r="W10" s="68"/>
      <c r="X10" s="55" t="s">
        <v>295</v>
      </c>
      <c r="Y10" s="71" t="s">
        <v>293</v>
      </c>
    </row>
    <row r="11" spans="1:25">
      <c r="A11" s="68"/>
      <c r="B11" s="55" t="s">
        <v>168</v>
      </c>
      <c r="C11" s="55" t="s">
        <v>169</v>
      </c>
      <c r="D11" s="59">
        <v>1260750</v>
      </c>
      <c r="E11" s="74">
        <v>1259150</v>
      </c>
      <c r="F11" s="74">
        <v>1450000</v>
      </c>
      <c r="G11" s="60"/>
      <c r="I11" s="68"/>
      <c r="J11" s="55" t="s">
        <v>91</v>
      </c>
      <c r="K11" s="55" t="s">
        <v>93</v>
      </c>
      <c r="L11" s="71" t="s">
        <v>470</v>
      </c>
      <c r="O11" s="68"/>
      <c r="P11" s="55" t="s">
        <v>121</v>
      </c>
      <c r="Q11" s="55" t="s">
        <v>122</v>
      </c>
      <c r="R11" s="59">
        <v>46008</v>
      </c>
      <c r="S11" s="60">
        <v>46738</v>
      </c>
      <c r="V11" s="68"/>
      <c r="W11" s="68"/>
      <c r="X11" s="55" t="s">
        <v>122</v>
      </c>
      <c r="Y11" s="71" t="s">
        <v>121</v>
      </c>
    </row>
    <row r="12" spans="1:25">
      <c r="A12" s="68"/>
      <c r="B12" s="55" t="s">
        <v>91</v>
      </c>
      <c r="C12" s="55" t="s">
        <v>93</v>
      </c>
      <c r="D12" s="59">
        <v>3000000</v>
      </c>
      <c r="E12" s="74">
        <v>2994000</v>
      </c>
      <c r="F12" s="74">
        <v>2994000</v>
      </c>
      <c r="G12" s="60"/>
      <c r="I12" s="68"/>
      <c r="J12" s="55" t="s">
        <v>201</v>
      </c>
      <c r="K12" s="55" t="s">
        <v>202</v>
      </c>
      <c r="L12" s="71" t="s">
        <v>130</v>
      </c>
      <c r="O12" s="68"/>
      <c r="P12" s="55" t="s">
        <v>180</v>
      </c>
      <c r="Q12" s="55" t="s">
        <v>182</v>
      </c>
      <c r="R12" s="59">
        <v>46021</v>
      </c>
      <c r="S12" s="60">
        <v>46741</v>
      </c>
      <c r="V12" s="68"/>
      <c r="W12" s="68"/>
      <c r="X12" s="55" t="s">
        <v>191</v>
      </c>
      <c r="Y12" s="71" t="s">
        <v>190</v>
      </c>
    </row>
    <row r="13" spans="1:25">
      <c r="A13" s="68"/>
      <c r="B13" s="55" t="s">
        <v>201</v>
      </c>
      <c r="C13" s="55" t="s">
        <v>202</v>
      </c>
      <c r="D13" s="59">
        <v>808000</v>
      </c>
      <c r="E13" s="74">
        <v>800000</v>
      </c>
      <c r="F13" s="74">
        <v>800000</v>
      </c>
      <c r="G13" s="60"/>
      <c r="I13" s="68"/>
      <c r="J13" s="55" t="s">
        <v>80</v>
      </c>
      <c r="K13" s="55" t="s">
        <v>82</v>
      </c>
      <c r="L13" s="71" t="s">
        <v>88</v>
      </c>
      <c r="O13" s="68"/>
      <c r="P13" s="55" t="s">
        <v>322</v>
      </c>
      <c r="Q13" s="55" t="s">
        <v>323</v>
      </c>
      <c r="R13" s="59">
        <v>46015</v>
      </c>
      <c r="S13" s="60">
        <v>47026</v>
      </c>
      <c r="V13" s="68"/>
      <c r="W13" s="68"/>
      <c r="X13" s="55" t="s">
        <v>255</v>
      </c>
      <c r="Y13" s="71" t="s">
        <v>253</v>
      </c>
    </row>
    <row r="14" spans="1:25">
      <c r="A14" s="68"/>
      <c r="B14" s="55" t="s">
        <v>80</v>
      </c>
      <c r="C14" s="55" t="s">
        <v>82</v>
      </c>
      <c r="D14" s="59">
        <v>455377.26</v>
      </c>
      <c r="E14" s="74">
        <v>450000</v>
      </c>
      <c r="F14" s="74">
        <v>450000</v>
      </c>
      <c r="G14" s="60"/>
      <c r="I14" s="68"/>
      <c r="J14" s="55" t="s">
        <v>226</v>
      </c>
      <c r="K14" s="55" t="s">
        <v>229</v>
      </c>
      <c r="L14" s="71" t="s">
        <v>470</v>
      </c>
      <c r="O14" s="68"/>
      <c r="P14" s="55" t="s">
        <v>253</v>
      </c>
      <c r="Q14" s="55" t="s">
        <v>255</v>
      </c>
      <c r="R14" s="59">
        <v>46007</v>
      </c>
      <c r="S14" s="60">
        <v>47015</v>
      </c>
      <c r="V14" s="68"/>
      <c r="W14" s="68"/>
      <c r="X14" s="55" t="s">
        <v>70</v>
      </c>
      <c r="Y14" s="71" t="s">
        <v>69</v>
      </c>
    </row>
    <row r="15" spans="1:25">
      <c r="A15" s="68"/>
      <c r="B15" s="55" t="s">
        <v>226</v>
      </c>
      <c r="C15" s="55" t="s">
        <v>229</v>
      </c>
      <c r="D15" s="59">
        <v>1612903.23</v>
      </c>
      <c r="E15" s="74">
        <v>1500000</v>
      </c>
      <c r="F15" s="74">
        <v>1500000</v>
      </c>
      <c r="G15" s="60"/>
      <c r="I15" s="68"/>
      <c r="J15" s="68"/>
      <c r="K15" s="55" t="s">
        <v>241</v>
      </c>
      <c r="L15" s="71" t="s">
        <v>248</v>
      </c>
      <c r="O15" s="68"/>
      <c r="P15" s="55" t="s">
        <v>168</v>
      </c>
      <c r="Q15" s="55" t="s">
        <v>169</v>
      </c>
      <c r="R15" s="59">
        <v>46014</v>
      </c>
      <c r="S15" s="60">
        <v>46744</v>
      </c>
      <c r="V15" s="68"/>
      <c r="W15" s="68"/>
      <c r="X15" s="55" t="s">
        <v>229</v>
      </c>
      <c r="Y15" s="71" t="s">
        <v>226</v>
      </c>
    </row>
    <row r="16" spans="1:25">
      <c r="A16" s="68"/>
      <c r="B16" s="68"/>
      <c r="C16" s="61" t="s">
        <v>241</v>
      </c>
      <c r="D16" s="62">
        <v>451681.86</v>
      </c>
      <c r="E16" s="77">
        <v>450000</v>
      </c>
      <c r="F16" s="77">
        <v>450000</v>
      </c>
      <c r="G16" s="63"/>
      <c r="I16" s="68"/>
      <c r="J16" s="55" t="s">
        <v>190</v>
      </c>
      <c r="K16" s="55" t="s">
        <v>191</v>
      </c>
      <c r="L16" s="71" t="s">
        <v>470</v>
      </c>
      <c r="O16" s="68"/>
      <c r="P16" s="55" t="s">
        <v>91</v>
      </c>
      <c r="Q16" s="55" t="s">
        <v>93</v>
      </c>
      <c r="R16" s="59">
        <v>46014</v>
      </c>
      <c r="S16" s="60">
        <v>46744</v>
      </c>
      <c r="V16" s="68"/>
      <c r="W16" s="68"/>
      <c r="X16" s="55" t="s">
        <v>202</v>
      </c>
      <c r="Y16" s="71" t="s">
        <v>201</v>
      </c>
    </row>
    <row r="17" spans="1:25">
      <c r="A17" s="68"/>
      <c r="B17" s="55" t="s">
        <v>190</v>
      </c>
      <c r="C17" s="55" t="s">
        <v>191</v>
      </c>
      <c r="D17" s="59">
        <v>401000</v>
      </c>
      <c r="E17" s="74">
        <v>400000</v>
      </c>
      <c r="F17" s="74">
        <v>400000</v>
      </c>
      <c r="G17" s="60"/>
      <c r="I17" s="68"/>
      <c r="J17" s="55" t="s">
        <v>113</v>
      </c>
      <c r="K17" s="55" t="s">
        <v>115</v>
      </c>
      <c r="L17" s="71" t="s">
        <v>470</v>
      </c>
      <c r="O17" s="68"/>
      <c r="P17" s="55" t="s">
        <v>201</v>
      </c>
      <c r="Q17" s="55" t="s">
        <v>202</v>
      </c>
      <c r="R17" s="59">
        <v>46020</v>
      </c>
      <c r="S17" s="60">
        <v>46507</v>
      </c>
      <c r="V17" s="68"/>
      <c r="W17" s="68"/>
      <c r="X17" s="55" t="s">
        <v>323</v>
      </c>
      <c r="Y17" s="71" t="s">
        <v>322</v>
      </c>
    </row>
    <row r="18" spans="1:25">
      <c r="A18" s="68"/>
      <c r="B18" s="55" t="s">
        <v>113</v>
      </c>
      <c r="C18" s="55" t="s">
        <v>115</v>
      </c>
      <c r="D18" s="59">
        <v>707000</v>
      </c>
      <c r="E18" s="74">
        <v>700000</v>
      </c>
      <c r="F18" s="74">
        <v>700000</v>
      </c>
      <c r="G18" s="60"/>
      <c r="I18" s="68"/>
      <c r="J18" s="55" t="s">
        <v>69</v>
      </c>
      <c r="K18" s="55" t="s">
        <v>70</v>
      </c>
      <c r="L18" s="71" t="s">
        <v>76</v>
      </c>
      <c r="O18" s="68"/>
      <c r="P18" s="55" t="s">
        <v>80</v>
      </c>
      <c r="Q18" s="55" t="s">
        <v>82</v>
      </c>
      <c r="R18" s="59">
        <v>46010</v>
      </c>
      <c r="S18" s="60">
        <v>46740</v>
      </c>
      <c r="V18" s="68"/>
      <c r="W18" s="68"/>
      <c r="X18" s="55" t="s">
        <v>182</v>
      </c>
      <c r="Y18" s="71" t="s">
        <v>180</v>
      </c>
    </row>
    <row r="19" spans="1:25">
      <c r="A19" s="68"/>
      <c r="B19" s="55" t="s">
        <v>69</v>
      </c>
      <c r="C19" s="55" t="s">
        <v>70</v>
      </c>
      <c r="D19" s="59">
        <v>455000</v>
      </c>
      <c r="E19" s="74">
        <v>450000</v>
      </c>
      <c r="F19" s="74">
        <v>450000</v>
      </c>
      <c r="G19" s="60"/>
      <c r="I19" s="68"/>
      <c r="J19" s="55" t="s">
        <v>104</v>
      </c>
      <c r="K19" s="55" t="s">
        <v>106</v>
      </c>
      <c r="L19" s="71" t="s">
        <v>470</v>
      </c>
      <c r="O19" s="68"/>
      <c r="P19" s="55" t="s">
        <v>226</v>
      </c>
      <c r="Q19" s="55" t="s">
        <v>229</v>
      </c>
      <c r="R19" s="59">
        <v>46020</v>
      </c>
      <c r="S19" s="60">
        <v>46510</v>
      </c>
      <c r="V19" s="68"/>
      <c r="W19" s="68"/>
      <c r="X19" s="55" t="s">
        <v>278</v>
      </c>
      <c r="Y19" s="71" t="s">
        <v>56</v>
      </c>
    </row>
    <row r="20" spans="1:25">
      <c r="A20" s="68"/>
      <c r="B20" s="55" t="s">
        <v>104</v>
      </c>
      <c r="C20" s="55" t="s">
        <v>106</v>
      </c>
      <c r="D20" s="59">
        <v>1000000</v>
      </c>
      <c r="E20" s="74">
        <v>990000</v>
      </c>
      <c r="F20" s="74">
        <v>1000000</v>
      </c>
      <c r="G20" s="60"/>
      <c r="I20" s="68"/>
      <c r="J20" s="55" t="s">
        <v>316</v>
      </c>
      <c r="K20" s="55" t="s">
        <v>317</v>
      </c>
      <c r="L20" s="71" t="s">
        <v>329</v>
      </c>
      <c r="O20" s="68"/>
      <c r="P20" s="68"/>
      <c r="Q20" s="61" t="s">
        <v>241</v>
      </c>
      <c r="R20" s="62">
        <v>46010</v>
      </c>
      <c r="S20" s="63">
        <v>46507</v>
      </c>
      <c r="V20" s="68"/>
      <c r="W20" s="68"/>
      <c r="X20" s="55" t="s">
        <v>106</v>
      </c>
      <c r="Y20" s="71" t="s">
        <v>104</v>
      </c>
    </row>
    <row r="21" spans="1:25">
      <c r="A21" s="68"/>
      <c r="B21" s="55" t="s">
        <v>316</v>
      </c>
      <c r="C21" s="55" t="s">
        <v>317</v>
      </c>
      <c r="D21" s="59">
        <v>1502000</v>
      </c>
      <c r="E21" s="74">
        <v>1500000</v>
      </c>
      <c r="F21" s="74">
        <v>1500000</v>
      </c>
      <c r="G21" s="60">
        <v>1500000</v>
      </c>
      <c r="I21" s="68"/>
      <c r="J21" s="55" t="s">
        <v>56</v>
      </c>
      <c r="K21" s="55" t="s">
        <v>278</v>
      </c>
      <c r="L21" s="71" t="s">
        <v>470</v>
      </c>
      <c r="O21" s="68"/>
      <c r="P21" s="55" t="s">
        <v>190</v>
      </c>
      <c r="Q21" s="55" t="s">
        <v>191</v>
      </c>
      <c r="R21" s="59">
        <v>46007</v>
      </c>
      <c r="S21" s="60">
        <v>46737</v>
      </c>
      <c r="V21" s="68"/>
      <c r="W21" s="68"/>
      <c r="X21" s="55" t="s">
        <v>169</v>
      </c>
      <c r="Y21" s="71" t="s">
        <v>168</v>
      </c>
    </row>
    <row r="22" spans="1:25">
      <c r="A22" s="68"/>
      <c r="B22" s="55" t="s">
        <v>56</v>
      </c>
      <c r="C22" s="55" t="s">
        <v>278</v>
      </c>
      <c r="D22" s="59">
        <v>2630400</v>
      </c>
      <c r="E22" s="74">
        <v>2600000</v>
      </c>
      <c r="F22" s="74">
        <v>2600000</v>
      </c>
      <c r="G22" s="60">
        <v>2600000</v>
      </c>
      <c r="I22" s="68"/>
      <c r="J22" s="55" t="s">
        <v>134</v>
      </c>
      <c r="K22" s="55" t="s">
        <v>137</v>
      </c>
      <c r="L22" s="71" t="s">
        <v>147</v>
      </c>
      <c r="O22" s="68"/>
      <c r="P22" s="55" t="s">
        <v>113</v>
      </c>
      <c r="Q22" s="55" t="s">
        <v>115</v>
      </c>
      <c r="R22" s="59">
        <v>46013</v>
      </c>
      <c r="S22" s="60">
        <v>46741</v>
      </c>
      <c r="V22" s="68"/>
      <c r="W22" s="68"/>
      <c r="X22" s="55" t="s">
        <v>152</v>
      </c>
      <c r="Y22" s="71" t="s">
        <v>150</v>
      </c>
    </row>
    <row r="23" spans="1:25">
      <c r="A23" s="68"/>
      <c r="B23" s="55" t="s">
        <v>134</v>
      </c>
      <c r="C23" s="55" t="s">
        <v>137</v>
      </c>
      <c r="D23" s="59">
        <v>505000</v>
      </c>
      <c r="E23" s="74">
        <v>500000</v>
      </c>
      <c r="F23" s="74">
        <v>500000</v>
      </c>
      <c r="G23" s="60"/>
      <c r="I23" s="68"/>
      <c r="J23" s="55" t="s">
        <v>296</v>
      </c>
      <c r="K23" s="55" t="s">
        <v>297</v>
      </c>
      <c r="L23" s="71" t="s">
        <v>470</v>
      </c>
      <c r="O23" s="68"/>
      <c r="P23" s="55" t="s">
        <v>69</v>
      </c>
      <c r="Q23" s="55" t="s">
        <v>70</v>
      </c>
      <c r="R23" s="59">
        <v>46022</v>
      </c>
      <c r="S23" s="60">
        <v>46507</v>
      </c>
      <c r="V23" s="68"/>
      <c r="W23" s="68"/>
      <c r="X23" s="55" t="s">
        <v>93</v>
      </c>
      <c r="Y23" s="71" t="s">
        <v>91</v>
      </c>
    </row>
    <row r="24" spans="1:25">
      <c r="A24" s="68"/>
      <c r="B24" s="55" t="s">
        <v>296</v>
      </c>
      <c r="C24" s="55" t="s">
        <v>297</v>
      </c>
      <c r="D24" s="59">
        <v>505000</v>
      </c>
      <c r="E24" s="74">
        <v>500000</v>
      </c>
      <c r="F24" s="74">
        <v>500000</v>
      </c>
      <c r="G24" s="60"/>
      <c r="I24" s="68"/>
      <c r="J24" s="55" t="s">
        <v>266</v>
      </c>
      <c r="K24" s="55" t="s">
        <v>268</v>
      </c>
      <c r="L24" s="71" t="s">
        <v>470</v>
      </c>
      <c r="O24" s="68"/>
      <c r="P24" s="55" t="s">
        <v>104</v>
      </c>
      <c r="Q24" s="55" t="s">
        <v>106</v>
      </c>
      <c r="R24" s="59">
        <v>46009</v>
      </c>
      <c r="S24" s="60">
        <v>46739</v>
      </c>
      <c r="V24" s="68"/>
      <c r="W24" s="68"/>
      <c r="X24" s="55" t="s">
        <v>241</v>
      </c>
      <c r="Y24" s="71" t="s">
        <v>226</v>
      </c>
    </row>
    <row r="25" spans="1:25">
      <c r="A25" s="68"/>
      <c r="B25" s="55" t="s">
        <v>266</v>
      </c>
      <c r="C25" s="55" t="s">
        <v>268</v>
      </c>
      <c r="D25" s="59">
        <v>505000</v>
      </c>
      <c r="E25" s="74">
        <v>500000</v>
      </c>
      <c r="F25" s="74">
        <v>500000</v>
      </c>
      <c r="G25" s="60"/>
      <c r="I25" s="68"/>
      <c r="J25" s="55" t="s">
        <v>351</v>
      </c>
      <c r="K25" s="55" t="s">
        <v>352</v>
      </c>
      <c r="L25" s="71" t="s">
        <v>470</v>
      </c>
      <c r="O25" s="68"/>
      <c r="P25" s="55" t="s">
        <v>316</v>
      </c>
      <c r="Q25" s="55" t="s">
        <v>317</v>
      </c>
      <c r="R25" s="59">
        <v>46008</v>
      </c>
      <c r="S25" s="60">
        <v>46738</v>
      </c>
      <c r="V25" s="68"/>
      <c r="W25" s="55">
        <v>5400020250019</v>
      </c>
      <c r="X25" s="55" t="s">
        <v>352</v>
      </c>
      <c r="Y25" s="71" t="s">
        <v>351</v>
      </c>
    </row>
    <row r="26" spans="1:25">
      <c r="A26" s="68"/>
      <c r="B26" s="55" t="s">
        <v>351</v>
      </c>
      <c r="C26" s="55" t="s">
        <v>352</v>
      </c>
      <c r="D26" s="59">
        <v>500000</v>
      </c>
      <c r="E26" s="74">
        <v>500000</v>
      </c>
      <c r="F26" s="74">
        <v>500000</v>
      </c>
      <c r="G26" s="60">
        <v>500000</v>
      </c>
      <c r="I26" s="55">
        <v>2026</v>
      </c>
      <c r="J26" s="55" t="s">
        <v>380</v>
      </c>
      <c r="K26" s="55" t="s">
        <v>381</v>
      </c>
      <c r="L26" s="71" t="s">
        <v>386</v>
      </c>
      <c r="O26" s="68"/>
      <c r="P26" s="55" t="s">
        <v>56</v>
      </c>
      <c r="Q26" s="55" t="s">
        <v>278</v>
      </c>
      <c r="R26" s="59">
        <v>46020</v>
      </c>
      <c r="S26" s="60">
        <v>46483</v>
      </c>
      <c r="V26" s="55">
        <v>2026</v>
      </c>
      <c r="W26" s="55">
        <v>5400020260017</v>
      </c>
      <c r="X26" s="55" t="s">
        <v>389</v>
      </c>
      <c r="Y26" s="71" t="s">
        <v>351</v>
      </c>
    </row>
    <row r="27" spans="1:25">
      <c r="A27" s="55">
        <v>2026</v>
      </c>
      <c r="B27" s="55" t="s">
        <v>380</v>
      </c>
      <c r="C27" s="55" t="s">
        <v>381</v>
      </c>
      <c r="D27" s="59">
        <v>1010000</v>
      </c>
      <c r="E27" s="74">
        <v>1000000</v>
      </c>
      <c r="F27" s="74">
        <v>1000000</v>
      </c>
      <c r="G27" s="60"/>
      <c r="I27" s="68"/>
      <c r="J27" s="55" t="s">
        <v>400</v>
      </c>
      <c r="K27" s="55" t="s">
        <v>470</v>
      </c>
      <c r="L27" s="71" t="s">
        <v>349</v>
      </c>
      <c r="O27" s="68"/>
      <c r="P27" s="55" t="s">
        <v>134</v>
      </c>
      <c r="Q27" s="55" t="s">
        <v>137</v>
      </c>
      <c r="R27" s="59">
        <v>46010</v>
      </c>
      <c r="S27" s="60">
        <v>46740</v>
      </c>
      <c r="V27" s="68"/>
      <c r="W27" s="55">
        <v>5400020260018</v>
      </c>
      <c r="X27" s="55" t="s">
        <v>381</v>
      </c>
      <c r="Y27" s="71" t="s">
        <v>380</v>
      </c>
    </row>
    <row r="28" spans="1:25">
      <c r="A28" s="68"/>
      <c r="B28" s="55" t="s">
        <v>400</v>
      </c>
      <c r="C28" s="55" t="s">
        <v>470</v>
      </c>
      <c r="D28" s="59">
        <v>251000</v>
      </c>
      <c r="E28" s="74">
        <v>250000</v>
      </c>
      <c r="F28" s="74"/>
      <c r="G28" s="60"/>
      <c r="I28" s="68"/>
      <c r="J28" s="55" t="s">
        <v>357</v>
      </c>
      <c r="K28" s="55" t="s">
        <v>358</v>
      </c>
      <c r="L28" s="71" t="s">
        <v>363</v>
      </c>
      <c r="O28" s="68"/>
      <c r="P28" s="55" t="s">
        <v>296</v>
      </c>
      <c r="Q28" s="55" t="s">
        <v>297</v>
      </c>
      <c r="R28" s="59">
        <v>46021</v>
      </c>
      <c r="S28" s="60">
        <v>46507</v>
      </c>
      <c r="V28" s="68"/>
      <c r="W28" s="68"/>
      <c r="X28" s="55" t="s">
        <v>394</v>
      </c>
      <c r="Y28" s="71" t="s">
        <v>393</v>
      </c>
    </row>
    <row r="29" spans="1:25">
      <c r="A29" s="68"/>
      <c r="B29" s="55" t="s">
        <v>357</v>
      </c>
      <c r="C29" s="55" t="s">
        <v>358</v>
      </c>
      <c r="D29" s="59">
        <v>505000</v>
      </c>
      <c r="E29" s="74">
        <v>500000</v>
      </c>
      <c r="F29" s="74">
        <v>500000</v>
      </c>
      <c r="G29" s="60"/>
      <c r="I29" s="68"/>
      <c r="J29" s="55" t="s">
        <v>393</v>
      </c>
      <c r="K29" s="55" t="s">
        <v>394</v>
      </c>
      <c r="L29" s="71" t="s">
        <v>470</v>
      </c>
      <c r="O29" s="68"/>
      <c r="P29" s="55" t="s">
        <v>266</v>
      </c>
      <c r="Q29" s="55" t="s">
        <v>268</v>
      </c>
      <c r="R29" s="59">
        <v>46020</v>
      </c>
      <c r="S29" s="60">
        <v>46741</v>
      </c>
      <c r="V29" s="68"/>
      <c r="W29" s="68"/>
      <c r="X29" s="55" t="s">
        <v>358</v>
      </c>
      <c r="Y29" s="71" t="s">
        <v>357</v>
      </c>
    </row>
    <row r="30" spans="1:25">
      <c r="A30" s="68"/>
      <c r="B30" s="55" t="s">
        <v>393</v>
      </c>
      <c r="C30" s="55" t="s">
        <v>394</v>
      </c>
      <c r="D30" s="59">
        <v>263618.48</v>
      </c>
      <c r="E30" s="74">
        <v>250000</v>
      </c>
      <c r="F30" s="74"/>
      <c r="G30" s="60"/>
      <c r="I30" s="68"/>
      <c r="J30" s="55" t="s">
        <v>366</v>
      </c>
      <c r="K30" s="55" t="s">
        <v>367</v>
      </c>
      <c r="L30" s="71" t="s">
        <v>363</v>
      </c>
      <c r="O30" s="68"/>
      <c r="P30" s="55" t="s">
        <v>351</v>
      </c>
      <c r="Q30" s="55" t="s">
        <v>352</v>
      </c>
      <c r="R30" s="59">
        <v>45962</v>
      </c>
      <c r="S30" s="60">
        <v>46721</v>
      </c>
      <c r="V30" s="68"/>
      <c r="W30" s="68"/>
      <c r="X30" s="55" t="s">
        <v>367</v>
      </c>
      <c r="Y30" s="71" t="s">
        <v>366</v>
      </c>
    </row>
    <row r="31" spans="1:25">
      <c r="A31" s="68"/>
      <c r="B31" s="55" t="s">
        <v>366</v>
      </c>
      <c r="C31" s="55" t="s">
        <v>367</v>
      </c>
      <c r="D31" s="59">
        <v>505000</v>
      </c>
      <c r="E31" s="74">
        <v>500000</v>
      </c>
      <c r="F31" s="74">
        <v>500000</v>
      </c>
      <c r="G31" s="60"/>
      <c r="I31" s="68"/>
      <c r="J31" s="55" t="s">
        <v>372</v>
      </c>
      <c r="K31" s="55" t="s">
        <v>373</v>
      </c>
      <c r="L31" s="71" t="s">
        <v>377</v>
      </c>
      <c r="O31" s="55">
        <v>2026</v>
      </c>
      <c r="P31" s="55" t="s">
        <v>380</v>
      </c>
      <c r="Q31" s="55" t="s">
        <v>381</v>
      </c>
      <c r="R31" s="59">
        <v>46366</v>
      </c>
      <c r="S31" s="60">
        <v>46731</v>
      </c>
      <c r="V31" s="69"/>
      <c r="W31" s="69"/>
      <c r="X31" s="64" t="s">
        <v>373</v>
      </c>
      <c r="Y31" s="72" t="s">
        <v>372</v>
      </c>
    </row>
    <row r="32" spans="1:25">
      <c r="A32" s="68"/>
      <c r="B32" s="55" t="s">
        <v>372</v>
      </c>
      <c r="C32" s="55" t="s">
        <v>373</v>
      </c>
      <c r="D32" s="59">
        <v>1010000</v>
      </c>
      <c r="E32" s="74">
        <v>1000000</v>
      </c>
      <c r="F32" s="74">
        <v>1000000</v>
      </c>
      <c r="G32" s="60"/>
      <c r="I32" s="69"/>
      <c r="J32" s="64" t="s">
        <v>351</v>
      </c>
      <c r="K32" s="64" t="s">
        <v>389</v>
      </c>
      <c r="L32" s="72" t="s">
        <v>470</v>
      </c>
      <c r="O32" s="68"/>
      <c r="P32" s="55" t="s">
        <v>400</v>
      </c>
      <c r="Q32" s="55" t="s">
        <v>470</v>
      </c>
      <c r="R32" s="59">
        <v>46259</v>
      </c>
      <c r="S32" s="60">
        <v>47118</v>
      </c>
    </row>
    <row r="33" spans="1:19">
      <c r="A33" s="68"/>
      <c r="B33" s="55" t="s">
        <v>351</v>
      </c>
      <c r="C33" s="55" t="s">
        <v>389</v>
      </c>
      <c r="D33" s="59">
        <v>525000</v>
      </c>
      <c r="E33" s="74">
        <v>500000</v>
      </c>
      <c r="F33" s="74">
        <v>500000</v>
      </c>
      <c r="G33" s="60"/>
      <c r="I33" s="20"/>
      <c r="O33" s="68"/>
      <c r="P33" s="55" t="s">
        <v>357</v>
      </c>
      <c r="Q33" s="55" t="s">
        <v>358</v>
      </c>
      <c r="R33" s="59">
        <v>46206</v>
      </c>
      <c r="S33" s="60">
        <v>46571</v>
      </c>
    </row>
    <row r="34" spans="1:19">
      <c r="A34" s="64" t="s">
        <v>469</v>
      </c>
      <c r="B34" s="75"/>
      <c r="C34" s="75"/>
      <c r="D34" s="65">
        <v>35667951.329999998</v>
      </c>
      <c r="E34" s="76">
        <v>35313150</v>
      </c>
      <c r="F34" s="76">
        <v>35014000</v>
      </c>
      <c r="G34" s="66">
        <v>4600000</v>
      </c>
      <c r="I34" s="20"/>
      <c r="O34" s="68"/>
      <c r="P34" s="55" t="s">
        <v>393</v>
      </c>
      <c r="Q34" s="55" t="s">
        <v>394</v>
      </c>
      <c r="R34" s="59">
        <v>46237</v>
      </c>
      <c r="S34" s="60">
        <v>46995</v>
      </c>
    </row>
    <row r="35" spans="1:19">
      <c r="A35" s="20"/>
      <c r="I35" s="20"/>
      <c r="O35" s="68"/>
      <c r="P35" s="55" t="s">
        <v>366</v>
      </c>
      <c r="Q35" s="55" t="s">
        <v>367</v>
      </c>
      <c r="R35" s="59">
        <v>46206</v>
      </c>
      <c r="S35" s="60">
        <v>46571</v>
      </c>
    </row>
    <row r="36" spans="1:19">
      <c r="A36" s="20"/>
      <c r="I36" s="20"/>
      <c r="O36" s="68"/>
      <c r="P36" s="55" t="s">
        <v>372</v>
      </c>
      <c r="Q36" s="55" t="s">
        <v>373</v>
      </c>
      <c r="R36" s="59">
        <v>46188</v>
      </c>
      <c r="S36" s="60">
        <v>46553</v>
      </c>
    </row>
    <row r="37" spans="1:19">
      <c r="A37" s="20"/>
      <c r="I37" s="20"/>
      <c r="O37" s="69"/>
      <c r="P37" s="64" t="s">
        <v>351</v>
      </c>
      <c r="Q37" s="64" t="s">
        <v>389</v>
      </c>
      <c r="R37" s="65">
        <v>46357</v>
      </c>
      <c r="S37" s="66">
        <v>46721</v>
      </c>
    </row>
    <row r="38" spans="1:19">
      <c r="A38" s="20"/>
      <c r="I38" s="20"/>
    </row>
    <row r="39" spans="1:19">
      <c r="A39" s="20"/>
      <c r="I39" s="20"/>
    </row>
    <row r="40" spans="1:19">
      <c r="A40" s="20"/>
      <c r="I40" s="20"/>
    </row>
    <row r="41" spans="1:19">
      <c r="A41" s="20"/>
      <c r="I41" s="20"/>
    </row>
    <row r="42" spans="1:19">
      <c r="A42" s="20"/>
      <c r="I42" s="20"/>
    </row>
    <row r="43" spans="1:19">
      <c r="A43" s="20"/>
      <c r="I43" s="20"/>
    </row>
    <row r="44" spans="1:19">
      <c r="A44" s="20"/>
      <c r="I44" s="20"/>
    </row>
    <row r="45" spans="1:19">
      <c r="A45" s="20"/>
      <c r="I45" s="20"/>
    </row>
    <row r="46" spans="1:19">
      <c r="A46" s="20"/>
      <c r="I46" s="20"/>
    </row>
    <row r="47" spans="1:19">
      <c r="A47" s="20"/>
      <c r="I47" s="20"/>
    </row>
    <row r="48" spans="1:19">
      <c r="A48" s="20"/>
      <c r="I48" s="20"/>
    </row>
    <row r="49" spans="1:9">
      <c r="A49" s="20"/>
      <c r="I49" s="20"/>
    </row>
    <row r="50" spans="1:9">
      <c r="A50" s="20"/>
      <c r="I50" s="20"/>
    </row>
    <row r="51" spans="1:9">
      <c r="A51" s="20"/>
      <c r="I51" s="20"/>
    </row>
    <row r="52" spans="1:9">
      <c r="A52" s="20"/>
      <c r="I52" s="20"/>
    </row>
    <row r="53" spans="1:9">
      <c r="A53" s="20"/>
      <c r="I53" s="20"/>
    </row>
    <row r="54" spans="1:9">
      <c r="A54" s="20"/>
      <c r="I54" s="20"/>
    </row>
    <row r="55" spans="1:9">
      <c r="A55" s="20"/>
      <c r="I55" s="20"/>
    </row>
    <row r="56" spans="1:9">
      <c r="A56" s="20"/>
      <c r="I56" s="20"/>
    </row>
    <row r="57" spans="1:9">
      <c r="A57" s="20"/>
      <c r="I57" s="20"/>
    </row>
    <row r="58" spans="1:9">
      <c r="A58" s="20"/>
      <c r="I58" s="20"/>
    </row>
    <row r="59" spans="1:9">
      <c r="A59" s="20"/>
      <c r="I59" s="20"/>
    </row>
    <row r="60" spans="1:9">
      <c r="A60" s="20"/>
      <c r="I60" s="20"/>
    </row>
    <row r="61" spans="1:9">
      <c r="A61" s="20"/>
      <c r="I61" s="20"/>
    </row>
    <row r="62" spans="1:9">
      <c r="A62" s="20"/>
      <c r="I62" s="20"/>
    </row>
    <row r="63" spans="1:9">
      <c r="A63" s="20"/>
      <c r="I63" s="20"/>
    </row>
    <row r="64" spans="1:9">
      <c r="A64" s="20"/>
      <c r="I64" s="20"/>
    </row>
    <row r="65" spans="1:9">
      <c r="A65" s="20"/>
      <c r="I65" s="20"/>
    </row>
    <row r="66" spans="1:9">
      <c r="A66" s="20"/>
      <c r="I66" s="20"/>
    </row>
    <row r="67" spans="1:9">
      <c r="A67" s="20"/>
      <c r="I67" s="20"/>
    </row>
    <row r="68" spans="1:9">
      <c r="A68" s="20"/>
      <c r="I68" s="20"/>
    </row>
    <row r="69" spans="1:9">
      <c r="A69" s="20"/>
      <c r="I69" s="20"/>
    </row>
    <row r="70" spans="1:9">
      <c r="A70" s="20"/>
      <c r="I70" s="20"/>
    </row>
    <row r="71" spans="1:9">
      <c r="A71" s="20"/>
      <c r="I71" s="20"/>
    </row>
    <row r="72" spans="1:9">
      <c r="A72" s="20"/>
      <c r="I72" s="20"/>
    </row>
    <row r="73" spans="1:9">
      <c r="A73" s="20"/>
      <c r="I73" s="20"/>
    </row>
    <row r="74" spans="1:9">
      <c r="A74" s="20"/>
      <c r="I74" s="20"/>
    </row>
    <row r="75" spans="1:9">
      <c r="A75" s="20"/>
      <c r="I75" s="20"/>
    </row>
    <row r="76" spans="1:9">
      <c r="A76" s="20"/>
      <c r="I76" s="20"/>
    </row>
    <row r="77" spans="1:9">
      <c r="A77" s="20"/>
      <c r="I77" s="20"/>
    </row>
    <row r="78" spans="1:9">
      <c r="A78" s="20"/>
      <c r="I78" s="20"/>
    </row>
    <row r="79" spans="1:9">
      <c r="A79" s="20"/>
      <c r="I79" s="20"/>
    </row>
    <row r="80" spans="1:9">
      <c r="A80" s="20"/>
      <c r="I80" s="20"/>
    </row>
    <row r="81" spans="1:9">
      <c r="A81" s="20"/>
      <c r="I81" s="20"/>
    </row>
    <row r="82" spans="1:9">
      <c r="A82" s="20"/>
      <c r="I82" s="20"/>
    </row>
    <row r="83" spans="1:9">
      <c r="A83" s="20"/>
      <c r="I83" s="20"/>
    </row>
    <row r="84" spans="1:9">
      <c r="A84" s="20"/>
      <c r="I84" s="20"/>
    </row>
    <row r="85" spans="1:9">
      <c r="A85" s="20"/>
      <c r="I85" s="20"/>
    </row>
    <row r="86" spans="1:9">
      <c r="A86" s="20"/>
      <c r="I86" s="20"/>
    </row>
    <row r="87" spans="1:9">
      <c r="A87" s="20"/>
      <c r="I87" s="20"/>
    </row>
    <row r="88" spans="1:9">
      <c r="A88" s="20"/>
      <c r="I88" s="20"/>
    </row>
    <row r="89" spans="1:9">
      <c r="A89" s="20"/>
      <c r="I89" s="20"/>
    </row>
    <row r="90" spans="1:9">
      <c r="A90" s="20"/>
      <c r="I90" s="20"/>
    </row>
    <row r="91" spans="1:9">
      <c r="A91" s="20"/>
      <c r="I91" s="20"/>
    </row>
    <row r="92" spans="1:9">
      <c r="A92" s="20"/>
      <c r="I92" s="20"/>
    </row>
    <row r="93" spans="1:9">
      <c r="A93" s="20"/>
      <c r="I93" s="20"/>
    </row>
    <row r="94" spans="1:9">
      <c r="A94" s="20"/>
      <c r="I94" s="20"/>
    </row>
    <row r="95" spans="1:9">
      <c r="A95" s="20"/>
      <c r="I95" s="20"/>
    </row>
    <row r="96" spans="1:9">
      <c r="A96" s="20"/>
      <c r="I96" s="20"/>
    </row>
    <row r="97" spans="1:9">
      <c r="A97" s="20"/>
      <c r="I97" s="20"/>
    </row>
    <row r="98" spans="1:9">
      <c r="A98" s="20"/>
      <c r="I98" s="20"/>
    </row>
    <row r="99" spans="1:9">
      <c r="A99" s="20"/>
      <c r="I99" s="20"/>
    </row>
    <row r="100" spans="1:9">
      <c r="A100" s="20"/>
      <c r="I100" s="20"/>
    </row>
    <row r="101" spans="1:9">
      <c r="A101" s="20"/>
      <c r="I101" s="20"/>
    </row>
    <row r="102" spans="1:9">
      <c r="A102" s="20"/>
      <c r="I102" s="20"/>
    </row>
    <row r="103" spans="1:9">
      <c r="A103" s="20"/>
      <c r="I103" s="20"/>
    </row>
    <row r="104" spans="1:9">
      <c r="A104" s="20"/>
      <c r="I104" s="20"/>
    </row>
    <row r="105" spans="1:9">
      <c r="A105" s="20"/>
      <c r="I105" s="20"/>
    </row>
    <row r="106" spans="1:9">
      <c r="A106" s="20"/>
      <c r="I106" s="20"/>
    </row>
    <row r="107" spans="1:9">
      <c r="A107" s="20"/>
      <c r="I107" s="20"/>
    </row>
    <row r="108" spans="1:9">
      <c r="A108" s="20"/>
      <c r="I108" s="20"/>
    </row>
    <row r="109" spans="1:9">
      <c r="A109" s="20"/>
      <c r="I109" s="20"/>
    </row>
    <row r="110" spans="1:9">
      <c r="A110" s="20"/>
      <c r="I110" s="20"/>
    </row>
    <row r="111" spans="1:9">
      <c r="A111" s="20"/>
      <c r="I111" s="20"/>
    </row>
    <row r="112" spans="1:9">
      <c r="A112" s="20"/>
      <c r="I112" s="20"/>
    </row>
    <row r="113" spans="1:9">
      <c r="A113" s="20"/>
      <c r="I113" s="20"/>
    </row>
    <row r="114" spans="1:9">
      <c r="A114" s="20"/>
      <c r="I114" s="20"/>
    </row>
    <row r="115" spans="1:9">
      <c r="A115" s="20"/>
      <c r="I115" s="20"/>
    </row>
    <row r="116" spans="1:9">
      <c r="A116" s="20"/>
      <c r="I116" s="20"/>
    </row>
    <row r="117" spans="1:9">
      <c r="A117" s="20"/>
      <c r="I117" s="20"/>
    </row>
    <row r="118" spans="1:9">
      <c r="A118" s="20"/>
      <c r="I118" s="20"/>
    </row>
    <row r="119" spans="1:9">
      <c r="A119" s="20"/>
      <c r="I119" s="20"/>
    </row>
    <row r="120" spans="1:9">
      <c r="A120" s="20"/>
      <c r="I120" s="20"/>
    </row>
    <row r="121" spans="1:9">
      <c r="A121" s="20"/>
      <c r="I121" s="20"/>
    </row>
    <row r="122" spans="1:9">
      <c r="A122" s="20"/>
      <c r="I122" s="20"/>
    </row>
    <row r="123" spans="1:9">
      <c r="A123" s="20"/>
      <c r="I123" s="20"/>
    </row>
    <row r="124" spans="1:9">
      <c r="A124" s="20"/>
      <c r="I124" s="20"/>
    </row>
    <row r="125" spans="1:9">
      <c r="A125" s="20"/>
      <c r="I125" s="20"/>
    </row>
    <row r="126" spans="1:9">
      <c r="A126" s="20"/>
      <c r="I126" s="20"/>
    </row>
    <row r="127" spans="1:9">
      <c r="A127" s="20"/>
      <c r="I127" s="20"/>
    </row>
    <row r="128" spans="1:9">
      <c r="A128" s="20"/>
      <c r="I128" s="20"/>
    </row>
    <row r="129" spans="1:9">
      <c r="A129" s="20"/>
      <c r="I129" s="20"/>
    </row>
    <row r="130" spans="1:9">
      <c r="A130" s="20"/>
      <c r="I130" s="20"/>
    </row>
    <row r="131" spans="1:9">
      <c r="A131" s="20"/>
      <c r="I131" s="20"/>
    </row>
    <row r="132" spans="1:9">
      <c r="A132" s="20"/>
      <c r="I132" s="20"/>
    </row>
    <row r="133" spans="1:9">
      <c r="A133" s="20"/>
      <c r="I133" s="20"/>
    </row>
    <row r="134" spans="1:9">
      <c r="A134" s="20"/>
      <c r="I134" s="20"/>
    </row>
    <row r="135" spans="1:9">
      <c r="A135" s="20"/>
      <c r="I135" s="20"/>
    </row>
    <row r="136" spans="1:9">
      <c r="A136" s="20"/>
      <c r="I136" s="20"/>
    </row>
    <row r="137" spans="1:9">
      <c r="A137" s="20"/>
      <c r="I137" s="20"/>
    </row>
    <row r="138" spans="1:9">
      <c r="A138" s="20"/>
      <c r="I138" s="20"/>
    </row>
    <row r="139" spans="1:9">
      <c r="A139" s="20"/>
      <c r="I139" s="20"/>
    </row>
    <row r="140" spans="1:9">
      <c r="A140" s="20"/>
      <c r="I140" s="20"/>
    </row>
    <row r="141" spans="1:9">
      <c r="A141" s="20"/>
      <c r="I141" s="20"/>
    </row>
    <row r="142" spans="1:9">
      <c r="A142" s="20"/>
      <c r="I142" s="20"/>
    </row>
    <row r="143" spans="1:9">
      <c r="A143" s="20"/>
      <c r="I143" s="20"/>
    </row>
    <row r="144" spans="1:9">
      <c r="A144" s="20"/>
      <c r="I144" s="20"/>
    </row>
    <row r="145" spans="1:9">
      <c r="A145" s="20"/>
      <c r="I145" s="20"/>
    </row>
    <row r="146" spans="1:9">
      <c r="A146" s="20"/>
      <c r="I146" s="20"/>
    </row>
    <row r="147" spans="1:9">
      <c r="A147" s="20"/>
      <c r="I147" s="20"/>
    </row>
    <row r="148" spans="1:9">
      <c r="A148" s="20"/>
      <c r="I148" s="20"/>
    </row>
    <row r="149" spans="1:9">
      <c r="A149" s="20"/>
      <c r="I149" s="20"/>
    </row>
    <row r="150" spans="1:9">
      <c r="A150" s="20"/>
      <c r="I150" s="20"/>
    </row>
    <row r="151" spans="1:9">
      <c r="A151" s="20"/>
      <c r="I151" s="20"/>
    </row>
    <row r="152" spans="1:9">
      <c r="A152" s="20"/>
      <c r="I152" s="20"/>
    </row>
    <row r="153" spans="1:9">
      <c r="A153" s="20"/>
      <c r="I153" s="20"/>
    </row>
    <row r="154" spans="1:9">
      <c r="A154" s="20"/>
      <c r="I154" s="20"/>
    </row>
    <row r="155" spans="1:9">
      <c r="A155" s="20"/>
      <c r="I155" s="20"/>
    </row>
    <row r="156" spans="1:9">
      <c r="A156" s="20"/>
      <c r="I156" s="20"/>
    </row>
    <row r="157" spans="1:9">
      <c r="A157" s="20"/>
      <c r="I157" s="20"/>
    </row>
    <row r="158" spans="1:9">
      <c r="A158" s="20"/>
      <c r="I158" s="20"/>
    </row>
    <row r="159" spans="1:9">
      <c r="A159" s="20"/>
      <c r="I159" s="20"/>
    </row>
    <row r="160" spans="1:9">
      <c r="A160" s="20"/>
      <c r="I160" s="20"/>
    </row>
    <row r="161" spans="1:9">
      <c r="A161" s="20"/>
      <c r="I161" s="20"/>
    </row>
    <row r="162" spans="1:9">
      <c r="A162" s="20"/>
      <c r="I162" s="20"/>
    </row>
    <row r="163" spans="1:9">
      <c r="A163" s="20"/>
      <c r="I163" s="20"/>
    </row>
    <row r="164" spans="1:9">
      <c r="A164" s="20"/>
      <c r="I164" s="20"/>
    </row>
    <row r="165" spans="1:9">
      <c r="A165" s="20"/>
      <c r="I165" s="20"/>
    </row>
    <row r="166" spans="1:9">
      <c r="A166" s="20"/>
      <c r="I166" s="20"/>
    </row>
    <row r="167" spans="1:9">
      <c r="A167" s="20"/>
      <c r="I167" s="20"/>
    </row>
    <row r="168" spans="1:9">
      <c r="A168" s="20"/>
      <c r="I168" s="20"/>
    </row>
    <row r="169" spans="1:9">
      <c r="A169" s="20"/>
      <c r="I169" s="20"/>
    </row>
    <row r="170" spans="1:9">
      <c r="A170" s="20"/>
      <c r="I170" s="20"/>
    </row>
    <row r="171" spans="1:9">
      <c r="A171" s="20"/>
      <c r="I171" s="20"/>
    </row>
    <row r="172" spans="1:9">
      <c r="A172" s="20"/>
      <c r="I172" s="20"/>
    </row>
    <row r="173" spans="1:9">
      <c r="A173" s="20"/>
      <c r="I173" s="20"/>
    </row>
    <row r="174" spans="1:9">
      <c r="A174" s="20"/>
      <c r="I174" s="20"/>
    </row>
    <row r="175" spans="1:9">
      <c r="A175" s="20"/>
      <c r="I175" s="20"/>
    </row>
    <row r="176" spans="1:9">
      <c r="A176" s="20"/>
      <c r="I176" s="20"/>
    </row>
    <row r="177" spans="1:9">
      <c r="A177" s="20"/>
      <c r="I177" s="20"/>
    </row>
    <row r="178" spans="1:9">
      <c r="A178" s="20"/>
      <c r="I178" s="20"/>
    </row>
    <row r="179" spans="1:9">
      <c r="A179" s="20"/>
      <c r="I179" s="20"/>
    </row>
    <row r="180" spans="1:9">
      <c r="A180" s="20"/>
      <c r="I180" s="20"/>
    </row>
    <row r="181" spans="1:9">
      <c r="A181" s="20"/>
      <c r="I181" s="20"/>
    </row>
    <row r="182" spans="1:9">
      <c r="A182" s="20"/>
      <c r="I182" s="20"/>
    </row>
    <row r="183" spans="1:9">
      <c r="A183" s="20"/>
      <c r="I183" s="20"/>
    </row>
    <row r="184" spans="1:9">
      <c r="A184" s="20"/>
      <c r="I184" s="20"/>
    </row>
    <row r="185" spans="1:9">
      <c r="A185" s="20"/>
      <c r="I185" s="20"/>
    </row>
    <row r="186" spans="1:9">
      <c r="A186" s="20"/>
      <c r="I186" s="20"/>
    </row>
    <row r="187" spans="1:9">
      <c r="A187" s="20"/>
      <c r="I187" s="20"/>
    </row>
    <row r="188" spans="1:9">
      <c r="A188" s="20"/>
      <c r="I188" s="20"/>
    </row>
    <row r="189" spans="1:9">
      <c r="A189" s="20"/>
      <c r="I189" s="20"/>
    </row>
    <row r="190" spans="1:9">
      <c r="A190" s="20"/>
      <c r="I190" s="20"/>
    </row>
    <row r="191" spans="1:9">
      <c r="A191" s="20"/>
      <c r="I191" s="20"/>
    </row>
    <row r="192" spans="1:9">
      <c r="A192" s="20"/>
      <c r="I192" s="20"/>
    </row>
    <row r="193" spans="1:9">
      <c r="A193" s="20"/>
      <c r="I193" s="20"/>
    </row>
    <row r="194" spans="1:9">
      <c r="A194" s="20"/>
      <c r="I194" s="20"/>
    </row>
    <row r="195" spans="1:9">
      <c r="A195" s="20"/>
      <c r="I195" s="20"/>
    </row>
    <row r="196" spans="1:9">
      <c r="A196" s="20"/>
      <c r="I196" s="20"/>
    </row>
    <row r="197" spans="1:9">
      <c r="A197" s="20"/>
      <c r="I197" s="20"/>
    </row>
    <row r="198" spans="1:9">
      <c r="A198" s="20"/>
      <c r="I198" s="20"/>
    </row>
    <row r="199" spans="1:9">
      <c r="A199" s="20"/>
      <c r="I199" s="20"/>
    </row>
    <row r="200" spans="1:9">
      <c r="A200" s="20"/>
      <c r="I200" s="20"/>
    </row>
    <row r="201" spans="1:9">
      <c r="A201" s="20"/>
      <c r="I201" s="20"/>
    </row>
    <row r="202" spans="1:9">
      <c r="A202" s="20"/>
      <c r="I202" s="20"/>
    </row>
    <row r="203" spans="1:9">
      <c r="A203" s="20"/>
      <c r="I203" s="20"/>
    </row>
    <row r="204" spans="1:9">
      <c r="A204" s="20"/>
      <c r="I204" s="20"/>
    </row>
    <row r="205" spans="1:9">
      <c r="A205" s="20"/>
      <c r="I205" s="20"/>
    </row>
    <row r="206" spans="1:9">
      <c r="A206" s="20"/>
      <c r="I206" s="20"/>
    </row>
    <row r="207" spans="1:9">
      <c r="A207" s="20"/>
      <c r="I207" s="20"/>
    </row>
    <row r="208" spans="1:9">
      <c r="A208" s="20"/>
      <c r="I208" s="20"/>
    </row>
    <row r="209" spans="1:9">
      <c r="A209" s="20"/>
      <c r="I209" s="20"/>
    </row>
    <row r="210" spans="1:9">
      <c r="A210" s="20"/>
      <c r="I210" s="20"/>
    </row>
    <row r="211" spans="1:9">
      <c r="A211" s="20"/>
      <c r="I211" s="20"/>
    </row>
    <row r="212" spans="1:9">
      <c r="A212" s="20"/>
      <c r="I212" s="20"/>
    </row>
    <row r="213" spans="1:9">
      <c r="A213" s="20"/>
      <c r="I213" s="20"/>
    </row>
    <row r="214" spans="1:9">
      <c r="A214" s="20"/>
      <c r="I214" s="20"/>
    </row>
    <row r="215" spans="1:9">
      <c r="A215" s="20"/>
      <c r="I215" s="20"/>
    </row>
    <row r="216" spans="1:9">
      <c r="A216" s="20"/>
      <c r="I216" s="20"/>
    </row>
    <row r="217" spans="1:9">
      <c r="A217" s="20"/>
      <c r="I217" s="20"/>
    </row>
    <row r="218" spans="1:9">
      <c r="A218" s="20"/>
      <c r="I218" s="20"/>
    </row>
    <row r="219" spans="1:9">
      <c r="A219" s="20"/>
      <c r="I219" s="20"/>
    </row>
    <row r="220" spans="1:9">
      <c r="A220" s="20"/>
      <c r="I220" s="20"/>
    </row>
    <row r="221" spans="1:9">
      <c r="A221" s="20"/>
      <c r="I221" s="20"/>
    </row>
    <row r="222" spans="1:9">
      <c r="A222" s="20"/>
      <c r="I222" s="20"/>
    </row>
    <row r="223" spans="1:9">
      <c r="A223" s="20"/>
      <c r="I223" s="20"/>
    </row>
    <row r="224" spans="1:9">
      <c r="A224" s="20"/>
      <c r="I224" s="20"/>
    </row>
    <row r="225" spans="1:9">
      <c r="A225" s="20"/>
      <c r="I225" s="20"/>
    </row>
    <row r="226" spans="1:9">
      <c r="A226" s="20"/>
      <c r="I226" s="20"/>
    </row>
    <row r="227" spans="1:9">
      <c r="A227" s="20"/>
      <c r="I227" s="20"/>
    </row>
    <row r="228" spans="1:9">
      <c r="A228" s="20"/>
      <c r="I228" s="20"/>
    </row>
    <row r="229" spans="1:9">
      <c r="A229" s="20"/>
      <c r="I229" s="20"/>
    </row>
    <row r="230" spans="1:9">
      <c r="A230" s="20"/>
      <c r="I230" s="20"/>
    </row>
    <row r="231" spans="1:9">
      <c r="A231" s="20"/>
      <c r="I231" s="20"/>
    </row>
    <row r="232" spans="1:9">
      <c r="A232" s="20"/>
      <c r="I232" s="20"/>
    </row>
    <row r="233" spans="1:9">
      <c r="A233" s="20"/>
      <c r="I233" s="20"/>
    </row>
    <row r="234" spans="1:9">
      <c r="A234" s="20"/>
      <c r="I234" s="20"/>
    </row>
    <row r="235" spans="1:9">
      <c r="A235" s="20"/>
      <c r="I235" s="20"/>
    </row>
    <row r="236" spans="1:9">
      <c r="A236" s="20"/>
      <c r="I236" s="20"/>
    </row>
    <row r="237" spans="1:9">
      <c r="A237" s="20"/>
      <c r="I237" s="20"/>
    </row>
    <row r="238" spans="1:9">
      <c r="A238" s="20"/>
      <c r="I238" s="20"/>
    </row>
    <row r="239" spans="1:9">
      <c r="A239" s="20"/>
      <c r="I239" s="20"/>
    </row>
    <row r="240" spans="1:9">
      <c r="A240" s="20"/>
      <c r="I240" s="20"/>
    </row>
    <row r="241" spans="1:9">
      <c r="A241" s="20"/>
      <c r="I241" s="20"/>
    </row>
    <row r="242" spans="1:9">
      <c r="A242" s="20"/>
      <c r="I242" s="20"/>
    </row>
    <row r="243" spans="1:9">
      <c r="A243" s="20"/>
      <c r="I243" s="20"/>
    </row>
    <row r="244" spans="1:9">
      <c r="A244" s="20"/>
      <c r="I244" s="20"/>
    </row>
    <row r="245" spans="1:9">
      <c r="A245" s="20"/>
      <c r="I245" s="20"/>
    </row>
    <row r="246" spans="1:9">
      <c r="A246" s="20"/>
      <c r="I246" s="20"/>
    </row>
    <row r="247" spans="1:9">
      <c r="A247" s="20"/>
      <c r="I247" s="20"/>
    </row>
    <row r="248" spans="1:9">
      <c r="A248" s="20"/>
      <c r="I248" s="20"/>
    </row>
    <row r="249" spans="1:9">
      <c r="A249" s="20"/>
      <c r="I249" s="20"/>
    </row>
    <row r="250" spans="1:9">
      <c r="A250" s="20"/>
      <c r="I250" s="20"/>
    </row>
    <row r="251" spans="1:9">
      <c r="A251" s="20"/>
      <c r="I251" s="20"/>
    </row>
    <row r="252" spans="1:9">
      <c r="A252" s="20"/>
      <c r="I252" s="20"/>
    </row>
    <row r="253" spans="1:9">
      <c r="A253" s="20"/>
      <c r="I253" s="20"/>
    </row>
    <row r="254" spans="1:9">
      <c r="A254" s="20"/>
      <c r="I254" s="20"/>
    </row>
    <row r="255" spans="1:9">
      <c r="A255" s="20"/>
      <c r="I255" s="20"/>
    </row>
    <row r="256" spans="1:9">
      <c r="A256" s="20"/>
      <c r="I256" s="20"/>
    </row>
    <row r="257" spans="1:9">
      <c r="A257" s="20"/>
      <c r="I257" s="20"/>
    </row>
    <row r="258" spans="1:9">
      <c r="A258" s="20"/>
      <c r="I258" s="20"/>
    </row>
    <row r="259" spans="1:9">
      <c r="A259" s="20"/>
      <c r="I259" s="20"/>
    </row>
    <row r="260" spans="1:9">
      <c r="A260" s="20"/>
      <c r="I260" s="20"/>
    </row>
    <row r="261" spans="1:9">
      <c r="A261" s="20"/>
      <c r="I261" s="20"/>
    </row>
    <row r="262" spans="1:9">
      <c r="A262" s="20"/>
      <c r="I262" s="20"/>
    </row>
    <row r="263" spans="1:9">
      <c r="A263" s="20"/>
      <c r="I263" s="20"/>
    </row>
    <row r="264" spans="1:9">
      <c r="A264" s="20"/>
      <c r="I264" s="20"/>
    </row>
    <row r="265" spans="1:9">
      <c r="A265" s="20"/>
      <c r="I265" s="20"/>
    </row>
    <row r="266" spans="1:9">
      <c r="A266" s="20"/>
      <c r="I266" s="20"/>
    </row>
    <row r="267" spans="1:9">
      <c r="A267" s="20"/>
      <c r="I267" s="20"/>
    </row>
    <row r="268" spans="1:9">
      <c r="A268" s="20"/>
      <c r="I268" s="20"/>
    </row>
    <row r="269" spans="1:9">
      <c r="A269" s="20"/>
      <c r="I269" s="20"/>
    </row>
    <row r="270" spans="1:9">
      <c r="A270" s="20"/>
      <c r="I270" s="20"/>
    </row>
    <row r="271" spans="1:9">
      <c r="A271" s="20"/>
      <c r="I271" s="20"/>
    </row>
    <row r="272" spans="1:9">
      <c r="A272" s="20"/>
      <c r="I272" s="20"/>
    </row>
    <row r="273" spans="1:9">
      <c r="A273" s="20"/>
      <c r="I273" s="20"/>
    </row>
    <row r="274" spans="1:9">
      <c r="A274" s="20"/>
      <c r="I274" s="20"/>
    </row>
    <row r="275" spans="1:9">
      <c r="A275" s="20"/>
      <c r="I275" s="20"/>
    </row>
    <row r="276" spans="1:9">
      <c r="A276" s="20"/>
      <c r="I276" s="20"/>
    </row>
    <row r="277" spans="1:9">
      <c r="A277" s="20"/>
      <c r="I277" s="20"/>
    </row>
    <row r="278" spans="1:9">
      <c r="A278" s="20"/>
      <c r="I278" s="20"/>
    </row>
    <row r="279" spans="1:9">
      <c r="A279" s="20"/>
      <c r="I279" s="20"/>
    </row>
    <row r="280" spans="1:9">
      <c r="A280" s="20"/>
      <c r="I280" s="20"/>
    </row>
    <row r="281" spans="1:9">
      <c r="A281" s="20"/>
      <c r="I281" s="20"/>
    </row>
    <row r="282" spans="1:9">
      <c r="A282" s="20"/>
      <c r="I282" s="20"/>
    </row>
    <row r="283" spans="1:9">
      <c r="A283" s="20"/>
      <c r="I283" s="20"/>
    </row>
    <row r="284" spans="1:9">
      <c r="A284" s="20"/>
      <c r="I284" s="20"/>
    </row>
    <row r="285" spans="1:9">
      <c r="A285" s="20"/>
      <c r="I285" s="20"/>
    </row>
    <row r="286" spans="1:9">
      <c r="A286" s="20"/>
      <c r="I286" s="20"/>
    </row>
    <row r="287" spans="1:9">
      <c r="A287" s="20"/>
      <c r="I287" s="20"/>
    </row>
    <row r="288" spans="1:9">
      <c r="A288" s="20"/>
      <c r="I288" s="20"/>
    </row>
    <row r="289" spans="1:9">
      <c r="A289" s="20"/>
      <c r="I289" s="20"/>
    </row>
    <row r="290" spans="1:9">
      <c r="A290" s="20"/>
      <c r="I290" s="20"/>
    </row>
    <row r="291" spans="1:9">
      <c r="A291" s="20"/>
      <c r="I291" s="20"/>
    </row>
    <row r="292" spans="1:9">
      <c r="A292" s="20"/>
      <c r="I292" s="20"/>
    </row>
    <row r="293" spans="1:9">
      <c r="A293" s="20"/>
      <c r="I293" s="20"/>
    </row>
    <row r="294" spans="1:9">
      <c r="A294" s="20"/>
      <c r="I294" s="20"/>
    </row>
    <row r="295" spans="1:9">
      <c r="A295" s="20"/>
      <c r="I295" s="20"/>
    </row>
    <row r="296" spans="1:9">
      <c r="A296" s="20"/>
      <c r="I296" s="20"/>
    </row>
    <row r="297" spans="1:9">
      <c r="A297" s="20"/>
      <c r="I297" s="20"/>
    </row>
    <row r="298" spans="1:9">
      <c r="A298" s="20"/>
      <c r="I298" s="20"/>
    </row>
    <row r="299" spans="1:9">
      <c r="A299" s="20"/>
      <c r="I299" s="20"/>
    </row>
    <row r="300" spans="1:9">
      <c r="A300" s="20"/>
      <c r="I300" s="20"/>
    </row>
    <row r="301" spans="1:9">
      <c r="A301" s="20"/>
      <c r="I301" s="20"/>
    </row>
    <row r="302" spans="1:9">
      <c r="A302" s="20"/>
      <c r="I302" s="20"/>
    </row>
    <row r="303" spans="1:9">
      <c r="A303" s="20"/>
      <c r="I303" s="20"/>
    </row>
    <row r="304" spans="1:9">
      <c r="A304" s="20"/>
      <c r="I304" s="20"/>
    </row>
    <row r="305" spans="1:9">
      <c r="A305" s="20"/>
      <c r="I305" s="20"/>
    </row>
    <row r="306" spans="1:9">
      <c r="A306" s="20"/>
      <c r="I306" s="20"/>
    </row>
    <row r="307" spans="1:9">
      <c r="A307" s="20"/>
      <c r="I307" s="20"/>
    </row>
    <row r="308" spans="1:9">
      <c r="A308" s="20"/>
      <c r="I308" s="20"/>
    </row>
    <row r="309" spans="1:9">
      <c r="A309" s="20"/>
      <c r="I309" s="20"/>
    </row>
    <row r="310" spans="1:9">
      <c r="A310" s="20"/>
      <c r="I310" s="20"/>
    </row>
    <row r="311" spans="1:9">
      <c r="A311" s="20"/>
      <c r="I311" s="20"/>
    </row>
    <row r="312" spans="1:9">
      <c r="A312" s="20"/>
      <c r="I312" s="20"/>
    </row>
    <row r="313" spans="1:9">
      <c r="A313" s="20"/>
      <c r="I313" s="20"/>
    </row>
    <row r="314" spans="1:9">
      <c r="A314" s="20"/>
      <c r="I314" s="20"/>
    </row>
    <row r="315" spans="1:9">
      <c r="A315" s="20"/>
      <c r="I315" s="20"/>
    </row>
    <row r="316" spans="1:9">
      <c r="A316" s="20"/>
      <c r="I316" s="20"/>
    </row>
    <row r="317" spans="1:9">
      <c r="A317" s="20"/>
      <c r="I317" s="20"/>
    </row>
    <row r="318" spans="1:9">
      <c r="A318" s="20"/>
      <c r="I318" s="20"/>
    </row>
    <row r="319" spans="1:9">
      <c r="A319" s="20"/>
      <c r="I319" s="20"/>
    </row>
    <row r="320" spans="1:9">
      <c r="A320" s="20"/>
      <c r="I320" s="20"/>
    </row>
    <row r="321" spans="1:9">
      <c r="A321" s="20"/>
      <c r="I321" s="20"/>
    </row>
    <row r="322" spans="1:9">
      <c r="A322" s="20"/>
      <c r="I322" s="20"/>
    </row>
    <row r="323" spans="1:9">
      <c r="A323" s="20"/>
      <c r="I323" s="20"/>
    </row>
    <row r="324" spans="1:9">
      <c r="A324" s="20"/>
      <c r="I324" s="20"/>
    </row>
    <row r="325" spans="1:9">
      <c r="A325" s="20"/>
      <c r="I325" s="20"/>
    </row>
    <row r="326" spans="1:9">
      <c r="A326" s="20"/>
      <c r="I326" s="20"/>
    </row>
    <row r="327" spans="1:9">
      <c r="A327" s="20"/>
      <c r="I327" s="20"/>
    </row>
    <row r="328" spans="1:9">
      <c r="A328" s="20"/>
      <c r="I328" s="20"/>
    </row>
    <row r="329" spans="1:9">
      <c r="A329" s="20"/>
      <c r="I329" s="20"/>
    </row>
    <row r="330" spans="1:9">
      <c r="A330" s="20"/>
      <c r="I330" s="20"/>
    </row>
    <row r="331" spans="1:9">
      <c r="A331" s="20"/>
      <c r="I331" s="20"/>
    </row>
    <row r="332" spans="1:9">
      <c r="A332" s="20"/>
      <c r="I332" s="20"/>
    </row>
    <row r="333" spans="1:9">
      <c r="A333" s="20"/>
      <c r="I333" s="20"/>
    </row>
    <row r="334" spans="1:9">
      <c r="A334" s="20"/>
      <c r="I334" s="20"/>
    </row>
    <row r="335" spans="1:9">
      <c r="A335" s="20"/>
      <c r="I335" s="20"/>
    </row>
    <row r="336" spans="1:9">
      <c r="A336" s="20"/>
      <c r="I336" s="20"/>
    </row>
    <row r="337" spans="1:9">
      <c r="A337" s="20"/>
      <c r="I337" s="20"/>
    </row>
    <row r="338" spans="1:9">
      <c r="A338" s="20"/>
      <c r="I338" s="20"/>
    </row>
    <row r="339" spans="1:9">
      <c r="A339" s="20"/>
      <c r="I339" s="20"/>
    </row>
    <row r="340" spans="1:9">
      <c r="A340" s="20"/>
      <c r="I340" s="20"/>
    </row>
    <row r="341" spans="1:9">
      <c r="A341" s="20"/>
      <c r="I341" s="20"/>
    </row>
    <row r="342" spans="1:9">
      <c r="A342" s="20"/>
      <c r="I342" s="20"/>
    </row>
    <row r="343" spans="1:9">
      <c r="A343" s="20"/>
      <c r="I343" s="20"/>
    </row>
    <row r="344" spans="1:9">
      <c r="A344" s="20"/>
      <c r="I344" s="20"/>
    </row>
    <row r="345" spans="1:9">
      <c r="A345" s="20"/>
      <c r="I345" s="20"/>
    </row>
    <row r="346" spans="1:9">
      <c r="A346" s="20"/>
      <c r="I346" s="20"/>
    </row>
    <row r="347" spans="1:9">
      <c r="A347" s="20"/>
      <c r="I347" s="20"/>
    </row>
    <row r="348" spans="1:9">
      <c r="A348" s="20"/>
      <c r="I348" s="20"/>
    </row>
    <row r="349" spans="1:9">
      <c r="A349" s="20"/>
      <c r="I349" s="20"/>
    </row>
    <row r="350" spans="1:9">
      <c r="A350" s="20"/>
      <c r="I350" s="20"/>
    </row>
    <row r="351" spans="1:9">
      <c r="A351" s="20"/>
      <c r="I351" s="20"/>
    </row>
    <row r="352" spans="1:9">
      <c r="A352" s="20"/>
      <c r="I352" s="20"/>
    </row>
    <row r="353" spans="1:9">
      <c r="A353" s="20"/>
      <c r="I353" s="20"/>
    </row>
    <row r="354" spans="1:9">
      <c r="A354" s="20"/>
      <c r="I354" s="20"/>
    </row>
    <row r="355" spans="1:9">
      <c r="A355" s="20"/>
      <c r="I355" s="20"/>
    </row>
    <row r="356" spans="1:9">
      <c r="A356" s="20"/>
      <c r="I356" s="20"/>
    </row>
    <row r="357" spans="1:9">
      <c r="A357" s="20"/>
      <c r="I357" s="20"/>
    </row>
    <row r="358" spans="1:9">
      <c r="A358" s="20"/>
      <c r="I358" s="20"/>
    </row>
    <row r="359" spans="1:9">
      <c r="A359" s="20"/>
      <c r="I359" s="20"/>
    </row>
    <row r="360" spans="1:9">
      <c r="A360" s="20"/>
      <c r="I360" s="20"/>
    </row>
    <row r="361" spans="1:9">
      <c r="A361" s="20"/>
      <c r="I361" s="20"/>
    </row>
    <row r="362" spans="1:9">
      <c r="A362" s="20"/>
      <c r="I362" s="20"/>
    </row>
    <row r="363" spans="1:9">
      <c r="A363" s="20"/>
      <c r="I363" s="20"/>
    </row>
    <row r="364" spans="1:9">
      <c r="A364" s="20"/>
      <c r="I364" s="20"/>
    </row>
    <row r="365" spans="1:9">
      <c r="A365" s="20"/>
      <c r="I365" s="20"/>
    </row>
    <row r="366" spans="1:9">
      <c r="A366" s="20"/>
      <c r="I366" s="20"/>
    </row>
    <row r="367" spans="1:9">
      <c r="A367" s="20"/>
      <c r="I367" s="20"/>
    </row>
    <row r="368" spans="1:9">
      <c r="A368" s="20"/>
      <c r="I368" s="20"/>
    </row>
    <row r="369" spans="1:9">
      <c r="A369" s="20"/>
      <c r="I369" s="20"/>
    </row>
    <row r="370" spans="1:9">
      <c r="A370" s="20"/>
      <c r="I370" s="20"/>
    </row>
    <row r="371" spans="1:9">
      <c r="A371" s="20"/>
      <c r="I371" s="20"/>
    </row>
    <row r="372" spans="1:9">
      <c r="A372" s="20"/>
      <c r="I372" s="20"/>
    </row>
    <row r="373" spans="1:9">
      <c r="A373" s="20"/>
      <c r="I373" s="20"/>
    </row>
    <row r="374" spans="1:9">
      <c r="A374" s="20"/>
      <c r="I374" s="20"/>
    </row>
    <row r="375" spans="1:9">
      <c r="A375" s="20"/>
      <c r="I375" s="20"/>
    </row>
    <row r="376" spans="1:9">
      <c r="A376" s="20"/>
      <c r="I376" s="20"/>
    </row>
    <row r="377" spans="1:9">
      <c r="A377" s="20"/>
      <c r="I377" s="20"/>
    </row>
    <row r="378" spans="1:9">
      <c r="A378" s="20"/>
      <c r="I378" s="20"/>
    </row>
    <row r="379" spans="1:9">
      <c r="A379" s="20"/>
      <c r="I379" s="20"/>
    </row>
    <row r="380" spans="1:9">
      <c r="A380" s="20"/>
      <c r="I380" s="20"/>
    </row>
    <row r="381" spans="1:9">
      <c r="A381" s="20"/>
      <c r="I381" s="20"/>
    </row>
    <row r="382" spans="1:9">
      <c r="A382" s="20"/>
      <c r="I382" s="20"/>
    </row>
    <row r="383" spans="1:9">
      <c r="A383" s="20"/>
      <c r="I383" s="20"/>
    </row>
    <row r="384" spans="1:9">
      <c r="A384" s="20"/>
      <c r="I384" s="20"/>
    </row>
    <row r="385" spans="1:9">
      <c r="A385" s="20"/>
      <c r="I385" s="20"/>
    </row>
    <row r="386" spans="1:9">
      <c r="A386" s="20"/>
      <c r="I386" s="20"/>
    </row>
    <row r="387" spans="1:9">
      <c r="A387" s="20"/>
      <c r="I387" s="20"/>
    </row>
    <row r="388" spans="1:9">
      <c r="A388" s="20"/>
      <c r="I388" s="20"/>
    </row>
    <row r="389" spans="1:9">
      <c r="A389" s="20"/>
      <c r="I389" s="20"/>
    </row>
    <row r="390" spans="1:9">
      <c r="A390" s="20"/>
      <c r="I390" s="20"/>
    </row>
    <row r="391" spans="1:9">
      <c r="A391" s="20"/>
      <c r="I391" s="20"/>
    </row>
    <row r="392" spans="1:9">
      <c r="A392" s="20"/>
      <c r="I392" s="20"/>
    </row>
    <row r="393" spans="1:9">
      <c r="A393" s="20"/>
      <c r="I393" s="20"/>
    </row>
    <row r="394" spans="1:9">
      <c r="A394" s="20"/>
      <c r="I394" s="20"/>
    </row>
    <row r="395" spans="1:9">
      <c r="A395" s="20"/>
      <c r="I395" s="20"/>
    </row>
    <row r="396" spans="1:9">
      <c r="A396" s="20"/>
      <c r="I396" s="20"/>
    </row>
    <row r="397" spans="1:9">
      <c r="A397" s="20"/>
      <c r="I397" s="20"/>
    </row>
    <row r="398" spans="1:9">
      <c r="A398" s="20"/>
      <c r="I398" s="20"/>
    </row>
    <row r="399" spans="1:9">
      <c r="A399" s="20"/>
      <c r="I399" s="20"/>
    </row>
    <row r="400" spans="1:9">
      <c r="A400" s="20"/>
      <c r="I400" s="20"/>
    </row>
    <row r="401" spans="1:9">
      <c r="A401" s="20"/>
      <c r="I401" s="20"/>
    </row>
    <row r="402" spans="1:9">
      <c r="A402" s="20"/>
      <c r="I402" s="20"/>
    </row>
    <row r="403" spans="1:9">
      <c r="A403" s="20"/>
      <c r="I403" s="20"/>
    </row>
    <row r="404" spans="1:9">
      <c r="A404" s="20"/>
      <c r="I404" s="20"/>
    </row>
    <row r="405" spans="1:9">
      <c r="A405" s="20"/>
      <c r="I405" s="20"/>
    </row>
    <row r="406" spans="1:9">
      <c r="A406" s="20"/>
      <c r="I406" s="20"/>
    </row>
    <row r="407" spans="1:9">
      <c r="A407" s="20"/>
      <c r="I407" s="20"/>
    </row>
    <row r="408" spans="1:9">
      <c r="A408" s="20"/>
      <c r="I408" s="20"/>
    </row>
    <row r="409" spans="1:9">
      <c r="A409" s="20"/>
      <c r="I409" s="20"/>
    </row>
    <row r="410" spans="1:9">
      <c r="A410" s="20"/>
      <c r="I410" s="20"/>
    </row>
    <row r="411" spans="1:9">
      <c r="A411" s="20"/>
      <c r="I411" s="20"/>
    </row>
    <row r="412" spans="1:9">
      <c r="A412" s="20"/>
      <c r="I412" s="20"/>
    </row>
    <row r="413" spans="1:9">
      <c r="A413" s="20"/>
      <c r="I413" s="20"/>
    </row>
    <row r="414" spans="1:9">
      <c r="A414" s="20"/>
      <c r="I414" s="20"/>
    </row>
    <row r="415" spans="1:9">
      <c r="A415" s="20"/>
      <c r="I415" s="20"/>
    </row>
    <row r="416" spans="1:9">
      <c r="A416" s="20"/>
      <c r="I416" s="20"/>
    </row>
    <row r="417" spans="1:9">
      <c r="A417" s="20"/>
      <c r="I417" s="20"/>
    </row>
    <row r="418" spans="1:9">
      <c r="A418" s="20"/>
      <c r="I418" s="20"/>
    </row>
    <row r="419" spans="1:9">
      <c r="A419" s="20"/>
      <c r="I419" s="20"/>
    </row>
    <row r="420" spans="1:9">
      <c r="A420" s="20"/>
      <c r="I420" s="20"/>
    </row>
    <row r="421" spans="1:9">
      <c r="A421" s="20"/>
      <c r="I421" s="20"/>
    </row>
    <row r="422" spans="1:9">
      <c r="A422" s="20"/>
      <c r="I422" s="20"/>
    </row>
    <row r="423" spans="1:9">
      <c r="A423" s="20"/>
      <c r="I423" s="20"/>
    </row>
    <row r="424" spans="1:9">
      <c r="A424" s="20"/>
      <c r="I424" s="20"/>
    </row>
    <row r="425" spans="1:9">
      <c r="A425" s="20"/>
      <c r="I425" s="20"/>
    </row>
    <row r="426" spans="1:9">
      <c r="A426" s="20"/>
      <c r="I426" s="20"/>
    </row>
    <row r="427" spans="1:9">
      <c r="A427" s="20"/>
      <c r="I427" s="20"/>
    </row>
    <row r="428" spans="1:9">
      <c r="A428" s="20"/>
      <c r="I428" s="20"/>
    </row>
    <row r="429" spans="1:9">
      <c r="A429" s="20"/>
      <c r="I429" s="20"/>
    </row>
    <row r="430" spans="1:9">
      <c r="A430" s="20"/>
      <c r="I430" s="20"/>
    </row>
    <row r="431" spans="1:9">
      <c r="A431" s="20"/>
      <c r="I431" s="20"/>
    </row>
    <row r="432" spans="1:9">
      <c r="A432" s="20"/>
      <c r="I432" s="20"/>
    </row>
    <row r="433" spans="1:9">
      <c r="A433" s="20"/>
      <c r="I433" s="20"/>
    </row>
    <row r="434" spans="1:9">
      <c r="A434" s="20"/>
      <c r="I434" s="20"/>
    </row>
    <row r="435" spans="1:9">
      <c r="A435" s="20"/>
      <c r="I435" s="20"/>
    </row>
    <row r="436" spans="1:9">
      <c r="A436" s="20"/>
      <c r="I436" s="20"/>
    </row>
    <row r="437" spans="1:9">
      <c r="A437" s="20"/>
      <c r="I437" s="20"/>
    </row>
    <row r="438" spans="1:9">
      <c r="A438" s="20"/>
      <c r="I438" s="20"/>
    </row>
    <row r="439" spans="1:9">
      <c r="A439" s="20"/>
      <c r="I439" s="20"/>
    </row>
    <row r="440" spans="1:9">
      <c r="A440" s="20"/>
      <c r="I440" s="20"/>
    </row>
    <row r="441" spans="1:9">
      <c r="A441" s="20"/>
      <c r="I441" s="20"/>
    </row>
    <row r="442" spans="1:9">
      <c r="A442" s="20"/>
      <c r="I442" s="20"/>
    </row>
    <row r="443" spans="1:9">
      <c r="A443" s="20"/>
      <c r="I443" s="20"/>
    </row>
    <row r="444" spans="1:9">
      <c r="A444" s="20"/>
      <c r="I444" s="20"/>
    </row>
    <row r="445" spans="1:9">
      <c r="A445" s="20"/>
      <c r="I445" s="20"/>
    </row>
    <row r="446" spans="1:9">
      <c r="A446" s="20"/>
      <c r="I446" s="20"/>
    </row>
    <row r="447" spans="1:9">
      <c r="A447" s="20"/>
      <c r="I447" s="20"/>
    </row>
    <row r="448" spans="1:9">
      <c r="A448" s="20"/>
      <c r="I448" s="20"/>
    </row>
    <row r="449" spans="1:9">
      <c r="A449" s="20"/>
      <c r="I449" s="20"/>
    </row>
    <row r="450" spans="1:9">
      <c r="A450" s="20"/>
      <c r="I450" s="20"/>
    </row>
    <row r="451" spans="1:9">
      <c r="A451" s="20"/>
      <c r="I451" s="20"/>
    </row>
    <row r="452" spans="1:9">
      <c r="A452" s="20"/>
      <c r="I452" s="20"/>
    </row>
    <row r="453" spans="1:9">
      <c r="A453" s="20"/>
      <c r="I453" s="20"/>
    </row>
    <row r="454" spans="1:9">
      <c r="A454" s="20"/>
      <c r="I454" s="20"/>
    </row>
    <row r="455" spans="1:9">
      <c r="A455" s="20"/>
      <c r="I455" s="20"/>
    </row>
    <row r="456" spans="1:9">
      <c r="A456" s="20"/>
      <c r="I456" s="20"/>
    </row>
    <row r="457" spans="1:9">
      <c r="A457" s="20"/>
      <c r="I457" s="20"/>
    </row>
    <row r="458" spans="1:9">
      <c r="A458" s="20"/>
      <c r="I458" s="20"/>
    </row>
    <row r="459" spans="1:9">
      <c r="A459" s="20"/>
      <c r="I459" s="20"/>
    </row>
    <row r="460" spans="1:9">
      <c r="A460" s="20"/>
      <c r="I460" s="20"/>
    </row>
    <row r="461" spans="1:9">
      <c r="A461" s="20"/>
      <c r="I461" s="20"/>
    </row>
    <row r="462" spans="1:9">
      <c r="A462" s="20"/>
      <c r="I462" s="20"/>
    </row>
    <row r="463" spans="1:9">
      <c r="A463" s="20"/>
      <c r="I463" s="20"/>
    </row>
    <row r="464" spans="1:9">
      <c r="A464" s="20"/>
      <c r="I464" s="20"/>
    </row>
    <row r="465" spans="1:9">
      <c r="A465" s="20"/>
      <c r="I465" s="20"/>
    </row>
    <row r="466" spans="1:9">
      <c r="A466" s="20"/>
      <c r="I466" s="20"/>
    </row>
    <row r="467" spans="1:9">
      <c r="A467" s="20"/>
      <c r="I467" s="20"/>
    </row>
    <row r="468" spans="1:9">
      <c r="A468" s="20"/>
      <c r="I468" s="20"/>
    </row>
    <row r="469" spans="1:9">
      <c r="A469" s="20"/>
      <c r="I469" s="20"/>
    </row>
    <row r="470" spans="1:9">
      <c r="A470" s="20"/>
      <c r="I470" s="20"/>
    </row>
    <row r="471" spans="1:9">
      <c r="A471" s="20"/>
      <c r="I471" s="20"/>
    </row>
    <row r="472" spans="1:9">
      <c r="A472" s="20"/>
      <c r="I472" s="20"/>
    </row>
    <row r="473" spans="1:9">
      <c r="A473" s="20"/>
      <c r="I473" s="20"/>
    </row>
    <row r="474" spans="1:9">
      <c r="A474" s="20"/>
      <c r="I474" s="20"/>
    </row>
    <row r="475" spans="1:9">
      <c r="A475" s="20"/>
      <c r="I475" s="20"/>
    </row>
    <row r="476" spans="1:9">
      <c r="A476" s="20"/>
      <c r="I476" s="20"/>
    </row>
    <row r="477" spans="1:9">
      <c r="A477" s="20"/>
      <c r="I477" s="20"/>
    </row>
    <row r="478" spans="1:9">
      <c r="A478" s="20"/>
      <c r="I478" s="20"/>
    </row>
    <row r="479" spans="1:9">
      <c r="A479" s="20"/>
      <c r="I479" s="20"/>
    </row>
    <row r="480" spans="1:9">
      <c r="A480" s="20"/>
      <c r="I480" s="20"/>
    </row>
    <row r="481" spans="1:9">
      <c r="A481" s="20"/>
      <c r="I481" s="20"/>
    </row>
    <row r="482" spans="1:9">
      <c r="A482" s="20"/>
      <c r="I482" s="20"/>
    </row>
    <row r="483" spans="1:9">
      <c r="A483" s="20"/>
      <c r="I483" s="20"/>
    </row>
    <row r="484" spans="1:9">
      <c r="A484" s="20"/>
      <c r="I484" s="20"/>
    </row>
    <row r="485" spans="1:9">
      <c r="A485" s="20"/>
      <c r="I485" s="20"/>
    </row>
    <row r="486" spans="1:9">
      <c r="A486" s="20"/>
      <c r="I486" s="20"/>
    </row>
    <row r="487" spans="1:9">
      <c r="A487" s="20"/>
      <c r="I487" s="20"/>
    </row>
    <row r="488" spans="1:9">
      <c r="A488" s="20"/>
      <c r="I488" s="20"/>
    </row>
    <row r="489" spans="1:9">
      <c r="A489" s="20"/>
      <c r="I489" s="20"/>
    </row>
    <row r="490" spans="1:9">
      <c r="A490" s="20"/>
      <c r="I490" s="20"/>
    </row>
    <row r="491" spans="1:9">
      <c r="A491" s="20"/>
      <c r="I491" s="20"/>
    </row>
    <row r="492" spans="1:9">
      <c r="A492" s="20"/>
      <c r="I492" s="20"/>
    </row>
    <row r="493" spans="1:9">
      <c r="A493" s="20"/>
      <c r="I493" s="20"/>
    </row>
    <row r="494" spans="1:9">
      <c r="A494" s="20"/>
      <c r="I494" s="20"/>
    </row>
    <row r="495" spans="1:9">
      <c r="A495" s="20"/>
      <c r="I495" s="20"/>
    </row>
    <row r="496" spans="1:9">
      <c r="A496" s="20"/>
      <c r="I496" s="20"/>
    </row>
    <row r="497" spans="1:9">
      <c r="A497" s="20"/>
      <c r="I497" s="20"/>
    </row>
    <row r="498" spans="1:9">
      <c r="A498" s="20"/>
      <c r="I498" s="20"/>
    </row>
    <row r="499" spans="1:9">
      <c r="A499" s="20"/>
      <c r="I499" s="20"/>
    </row>
    <row r="500" spans="1:9">
      <c r="A500" s="20"/>
      <c r="I500" s="20"/>
    </row>
    <row r="501" spans="1:9">
      <c r="A501" s="20"/>
      <c r="I501" s="20"/>
    </row>
    <row r="502" spans="1:9">
      <c r="A502" s="20"/>
      <c r="I502" s="20"/>
    </row>
    <row r="503" spans="1:9">
      <c r="A503" s="20"/>
      <c r="I503" s="20"/>
    </row>
    <row r="504" spans="1:9">
      <c r="A504" s="20"/>
      <c r="I504" s="20"/>
    </row>
    <row r="505" spans="1:9">
      <c r="A505" s="20"/>
      <c r="I505" s="20"/>
    </row>
    <row r="506" spans="1:9">
      <c r="A506" s="20"/>
      <c r="I506" s="20"/>
    </row>
    <row r="507" spans="1:9">
      <c r="A507" s="20"/>
      <c r="I507" s="20"/>
    </row>
    <row r="508" spans="1:9">
      <c r="A508" s="20"/>
      <c r="I508" s="20"/>
    </row>
    <row r="509" spans="1:9">
      <c r="A509" s="20"/>
      <c r="I509" s="20"/>
    </row>
    <row r="510" spans="1:9">
      <c r="A510" s="20"/>
      <c r="I510" s="20"/>
    </row>
    <row r="511" spans="1:9">
      <c r="A511" s="20"/>
      <c r="I511" s="20"/>
    </row>
    <row r="512" spans="1:9">
      <c r="A512" s="20"/>
      <c r="I512" s="20"/>
    </row>
    <row r="513" spans="1:9">
      <c r="A513" s="20"/>
      <c r="I513" s="20"/>
    </row>
    <row r="514" spans="1:9">
      <c r="A514" s="20"/>
      <c r="I514" s="20"/>
    </row>
    <row r="515" spans="1:9">
      <c r="A515" s="20"/>
      <c r="I515" s="20"/>
    </row>
    <row r="516" spans="1:9">
      <c r="A516" s="20"/>
      <c r="I516" s="20"/>
    </row>
    <row r="517" spans="1:9">
      <c r="A517" s="20"/>
      <c r="I517" s="20"/>
    </row>
    <row r="518" spans="1:9">
      <c r="A518" s="20"/>
      <c r="I518" s="20"/>
    </row>
    <row r="519" spans="1:9">
      <c r="A519" s="20"/>
      <c r="I519" s="20"/>
    </row>
    <row r="520" spans="1:9">
      <c r="A520" s="20"/>
      <c r="I520" s="20"/>
    </row>
    <row r="521" spans="1:9">
      <c r="A521" s="20"/>
      <c r="I521" s="20"/>
    </row>
    <row r="522" spans="1:9">
      <c r="A522" s="20"/>
      <c r="I522" s="20"/>
    </row>
    <row r="523" spans="1:9">
      <c r="A523" s="20"/>
      <c r="I523" s="20"/>
    </row>
    <row r="524" spans="1:9">
      <c r="A524" s="20"/>
      <c r="I524" s="20"/>
    </row>
    <row r="525" spans="1:9">
      <c r="A525" s="20"/>
      <c r="I525" s="20"/>
    </row>
    <row r="526" spans="1:9">
      <c r="A526" s="20"/>
      <c r="I526" s="20"/>
    </row>
    <row r="527" spans="1:9">
      <c r="A527" s="20"/>
      <c r="I527" s="20"/>
    </row>
    <row r="528" spans="1:9">
      <c r="A528" s="20"/>
      <c r="I528" s="20"/>
    </row>
    <row r="529" spans="1:9">
      <c r="A529" s="20"/>
      <c r="I529" s="20"/>
    </row>
    <row r="530" spans="1:9">
      <c r="A530" s="20"/>
      <c r="I530" s="20"/>
    </row>
    <row r="531" spans="1:9">
      <c r="A531" s="20"/>
      <c r="I531" s="20"/>
    </row>
    <row r="532" spans="1:9">
      <c r="A532" s="20"/>
      <c r="I532" s="20"/>
    </row>
    <row r="533" spans="1:9">
      <c r="A533" s="20"/>
      <c r="I533" s="20"/>
    </row>
    <row r="534" spans="1:9">
      <c r="A534" s="20"/>
      <c r="I534" s="20"/>
    </row>
    <row r="535" spans="1:9">
      <c r="A535" s="20"/>
      <c r="I535" s="20"/>
    </row>
    <row r="536" spans="1:9">
      <c r="A536" s="20"/>
      <c r="I536" s="20"/>
    </row>
    <row r="537" spans="1:9">
      <c r="A537" s="20"/>
      <c r="I537" s="20"/>
    </row>
    <row r="538" spans="1:9">
      <c r="A538" s="20"/>
      <c r="I538" s="20"/>
    </row>
    <row r="539" spans="1:9">
      <c r="A539" s="20"/>
      <c r="I539" s="20"/>
    </row>
    <row r="540" spans="1:9">
      <c r="A540" s="20"/>
      <c r="I540" s="20"/>
    </row>
    <row r="541" spans="1:9">
      <c r="A541" s="20"/>
      <c r="I541" s="20"/>
    </row>
    <row r="542" spans="1:9">
      <c r="A542" s="20"/>
      <c r="I542" s="20"/>
    </row>
    <row r="543" spans="1:9">
      <c r="A543" s="20"/>
      <c r="I543" s="20"/>
    </row>
    <row r="544" spans="1:9">
      <c r="A544" s="20"/>
      <c r="I544" s="20"/>
    </row>
    <row r="545" spans="1:9">
      <c r="A545" s="20"/>
      <c r="I545" s="20"/>
    </row>
    <row r="546" spans="1:9">
      <c r="A546" s="20"/>
      <c r="I546" s="20"/>
    </row>
    <row r="547" spans="1:9">
      <c r="A547" s="20"/>
      <c r="I547" s="20"/>
    </row>
    <row r="548" spans="1:9">
      <c r="A548" s="20"/>
      <c r="I548" s="20"/>
    </row>
    <row r="549" spans="1:9">
      <c r="A549" s="20"/>
      <c r="I549" s="20"/>
    </row>
    <row r="550" spans="1:9">
      <c r="A550" s="20"/>
      <c r="I550" s="20"/>
    </row>
    <row r="551" spans="1:9">
      <c r="A551" s="20"/>
      <c r="I551" s="20"/>
    </row>
    <row r="552" spans="1:9">
      <c r="A552" s="20"/>
      <c r="I552" s="20"/>
    </row>
    <row r="553" spans="1:9">
      <c r="A553" s="20"/>
      <c r="I553" s="20"/>
    </row>
    <row r="554" spans="1:9">
      <c r="A554" s="20"/>
      <c r="I554" s="20"/>
    </row>
    <row r="555" spans="1:9">
      <c r="A555" s="20"/>
      <c r="I555" s="20"/>
    </row>
    <row r="556" spans="1:9">
      <c r="A556" s="20"/>
      <c r="I556" s="20"/>
    </row>
    <row r="557" spans="1:9">
      <c r="A557" s="20"/>
      <c r="I557" s="20"/>
    </row>
    <row r="558" spans="1:9">
      <c r="A558" s="20"/>
      <c r="I558" s="20"/>
    </row>
    <row r="559" spans="1:9">
      <c r="A559" s="20"/>
      <c r="I559" s="20"/>
    </row>
    <row r="560" spans="1:9">
      <c r="A560" s="20"/>
      <c r="I560" s="20"/>
    </row>
    <row r="561" spans="1:9">
      <c r="A561" s="20"/>
      <c r="I561" s="20"/>
    </row>
    <row r="562" spans="1:9">
      <c r="A562" s="20"/>
      <c r="I562" s="20"/>
    </row>
    <row r="563" spans="1:9">
      <c r="A563" s="20"/>
      <c r="I563" s="20"/>
    </row>
    <row r="564" spans="1:9">
      <c r="A564" s="20"/>
      <c r="I564" s="20"/>
    </row>
    <row r="565" spans="1:9">
      <c r="A565" s="20"/>
      <c r="I565" s="20"/>
    </row>
    <row r="566" spans="1:9">
      <c r="A566" s="20"/>
      <c r="I566" s="20"/>
    </row>
    <row r="567" spans="1:9">
      <c r="A567" s="20"/>
      <c r="I567" s="20"/>
    </row>
    <row r="568" spans="1:9">
      <c r="A568" s="20"/>
      <c r="I568" s="20"/>
    </row>
    <row r="569" spans="1:9">
      <c r="A569" s="20"/>
      <c r="I569" s="20"/>
    </row>
    <row r="570" spans="1:9">
      <c r="A570" s="20"/>
      <c r="I570" s="20"/>
    </row>
    <row r="571" spans="1:9">
      <c r="A571" s="20"/>
      <c r="I571" s="20"/>
    </row>
    <row r="572" spans="1:9">
      <c r="A572" s="20"/>
      <c r="I572" s="20"/>
    </row>
    <row r="573" spans="1:9">
      <c r="A573" s="20"/>
      <c r="I573" s="20"/>
    </row>
    <row r="574" spans="1:9">
      <c r="A574" s="20"/>
      <c r="I574" s="20"/>
    </row>
    <row r="575" spans="1:9">
      <c r="A575" s="20"/>
      <c r="I575" s="20"/>
    </row>
    <row r="576" spans="1:9">
      <c r="A576" s="20"/>
      <c r="I576" s="20"/>
    </row>
    <row r="577" spans="1:9">
      <c r="A577" s="20"/>
      <c r="I577" s="20"/>
    </row>
    <row r="578" spans="1:9">
      <c r="A578" s="20"/>
      <c r="I578" s="20"/>
    </row>
    <row r="579" spans="1:9">
      <c r="A579" s="20"/>
      <c r="I579" s="20"/>
    </row>
    <row r="580" spans="1:9">
      <c r="A580" s="20"/>
      <c r="I580" s="20"/>
    </row>
    <row r="581" spans="1:9">
      <c r="A581" s="20"/>
      <c r="I581" s="20"/>
    </row>
    <row r="582" spans="1:9">
      <c r="A582" s="20"/>
      <c r="I582" s="20"/>
    </row>
    <row r="583" spans="1:9">
      <c r="A583" s="20"/>
      <c r="I583" s="20"/>
    </row>
    <row r="584" spans="1:9">
      <c r="A584" s="20"/>
      <c r="I584" s="20"/>
    </row>
    <row r="585" spans="1:9">
      <c r="A585" s="20"/>
      <c r="I585" s="20"/>
    </row>
    <row r="586" spans="1:9">
      <c r="A586" s="20"/>
      <c r="I586" s="20"/>
    </row>
    <row r="587" spans="1:9">
      <c r="A587" s="20"/>
      <c r="I587" s="20"/>
    </row>
    <row r="588" spans="1:9">
      <c r="A588" s="20"/>
      <c r="I588" s="20"/>
    </row>
    <row r="589" spans="1:9">
      <c r="A589" s="20"/>
      <c r="I589" s="20"/>
    </row>
    <row r="590" spans="1:9">
      <c r="A590" s="20"/>
      <c r="I590" s="20"/>
    </row>
    <row r="591" spans="1:9">
      <c r="A591" s="20"/>
      <c r="I591" s="20"/>
    </row>
    <row r="592" spans="1:9">
      <c r="A592" s="20"/>
      <c r="I592" s="20"/>
    </row>
    <row r="593" spans="1:9">
      <c r="A593" s="20"/>
      <c r="I593" s="20"/>
    </row>
    <row r="594" spans="1:9">
      <c r="A594" s="20"/>
      <c r="I594" s="20"/>
    </row>
    <row r="595" spans="1:9">
      <c r="A595" s="20"/>
      <c r="I595" s="20"/>
    </row>
    <row r="596" spans="1:9">
      <c r="A596" s="20"/>
      <c r="I596" s="20"/>
    </row>
    <row r="597" spans="1:9">
      <c r="A597" s="20"/>
      <c r="I597" s="20"/>
    </row>
    <row r="598" spans="1:9">
      <c r="A598" s="20"/>
      <c r="I598" s="20"/>
    </row>
    <row r="599" spans="1:9">
      <c r="A599" s="20"/>
      <c r="I599" s="20"/>
    </row>
    <row r="600" spans="1:9">
      <c r="A600" s="20"/>
      <c r="I600" s="20"/>
    </row>
    <row r="601" spans="1:9">
      <c r="A601" s="20"/>
      <c r="I601" s="20"/>
    </row>
    <row r="602" spans="1:9">
      <c r="A602" s="20"/>
      <c r="I602" s="20"/>
    </row>
    <row r="603" spans="1:9">
      <c r="A603" s="20"/>
      <c r="I603" s="20"/>
    </row>
    <row r="604" spans="1:9">
      <c r="A604" s="20"/>
      <c r="I604" s="20"/>
    </row>
    <row r="605" spans="1:9">
      <c r="A605" s="20"/>
      <c r="I605" s="20"/>
    </row>
    <row r="606" spans="1:9">
      <c r="A606" s="20"/>
      <c r="I606" s="20"/>
    </row>
    <row r="607" spans="1:9">
      <c r="A607" s="20"/>
      <c r="I607" s="20"/>
    </row>
    <row r="608" spans="1:9">
      <c r="A608" s="20"/>
      <c r="I608" s="20"/>
    </row>
    <row r="609" spans="1:9">
      <c r="A609" s="20"/>
      <c r="I609" s="20"/>
    </row>
    <row r="610" spans="1:9">
      <c r="A610" s="20"/>
      <c r="I610" s="20"/>
    </row>
    <row r="611" spans="1:9">
      <c r="A611" s="20"/>
      <c r="I611" s="20"/>
    </row>
    <row r="612" spans="1:9">
      <c r="A612" s="20"/>
      <c r="I612" s="20"/>
    </row>
    <row r="613" spans="1:9">
      <c r="A613" s="20"/>
      <c r="I613" s="20"/>
    </row>
    <row r="614" spans="1:9">
      <c r="A614" s="20"/>
      <c r="I614" s="20"/>
    </row>
    <row r="615" spans="1:9">
      <c r="A615" s="20"/>
      <c r="I615" s="20"/>
    </row>
    <row r="616" spans="1:9">
      <c r="A616" s="20"/>
      <c r="I616" s="20"/>
    </row>
    <row r="617" spans="1:9">
      <c r="A617" s="20"/>
      <c r="I617" s="20"/>
    </row>
    <row r="618" spans="1:9">
      <c r="A618" s="20"/>
      <c r="I618" s="20"/>
    </row>
    <row r="619" spans="1:9">
      <c r="A619" s="20"/>
      <c r="I619" s="20"/>
    </row>
    <row r="620" spans="1:9">
      <c r="A620" s="20"/>
      <c r="I620" s="20"/>
    </row>
    <row r="621" spans="1:9">
      <c r="A621" s="20"/>
      <c r="I621" s="20"/>
    </row>
    <row r="622" spans="1:9">
      <c r="A622" s="20"/>
      <c r="I622" s="20"/>
    </row>
    <row r="623" spans="1:9">
      <c r="A623" s="20"/>
      <c r="I623" s="20"/>
    </row>
    <row r="624" spans="1:9">
      <c r="A624" s="20"/>
      <c r="I624" s="20"/>
    </row>
    <row r="625" spans="1:9">
      <c r="A625" s="20"/>
      <c r="I625" s="20"/>
    </row>
    <row r="626" spans="1:9">
      <c r="A626" s="20"/>
      <c r="I626" s="20"/>
    </row>
    <row r="627" spans="1:9">
      <c r="A627" s="20"/>
      <c r="I627" s="20"/>
    </row>
    <row r="628" spans="1:9">
      <c r="A628" s="20"/>
      <c r="I628" s="20"/>
    </row>
    <row r="629" spans="1:9">
      <c r="A629" s="20"/>
      <c r="I629" s="20"/>
    </row>
    <row r="630" spans="1:9">
      <c r="A630" s="20"/>
      <c r="I630" s="20"/>
    </row>
    <row r="631" spans="1:9">
      <c r="A631" s="20"/>
      <c r="I631" s="20"/>
    </row>
    <row r="632" spans="1:9">
      <c r="A632" s="20"/>
      <c r="I632" s="20"/>
    </row>
    <row r="633" spans="1:9">
      <c r="A633" s="20"/>
      <c r="I633" s="20"/>
    </row>
    <row r="634" spans="1:9">
      <c r="A634" s="20"/>
      <c r="I634" s="20"/>
    </row>
    <row r="635" spans="1:9">
      <c r="A635" s="20"/>
      <c r="I635" s="20"/>
    </row>
    <row r="636" spans="1:9">
      <c r="A636" s="20"/>
      <c r="I636" s="20"/>
    </row>
    <row r="637" spans="1:9">
      <c r="A637" s="20"/>
      <c r="I637" s="20"/>
    </row>
    <row r="638" spans="1:9">
      <c r="A638" s="20"/>
      <c r="I638" s="20"/>
    </row>
    <row r="639" spans="1:9">
      <c r="A639" s="20"/>
      <c r="I639" s="20"/>
    </row>
    <row r="640" spans="1:9">
      <c r="A640" s="20"/>
      <c r="I640" s="20"/>
    </row>
    <row r="641" spans="1:9">
      <c r="A641" s="20"/>
      <c r="I641" s="20"/>
    </row>
    <row r="642" spans="1:9">
      <c r="A642" s="20"/>
      <c r="I642" s="20"/>
    </row>
    <row r="643" spans="1:9">
      <c r="A643" s="20"/>
      <c r="I643" s="20"/>
    </row>
    <row r="644" spans="1:9">
      <c r="A644" s="20"/>
      <c r="I644" s="20"/>
    </row>
    <row r="645" spans="1:9">
      <c r="A645" s="20"/>
      <c r="I645" s="20"/>
    </row>
    <row r="646" spans="1:9">
      <c r="A646" s="20"/>
      <c r="I646" s="20"/>
    </row>
    <row r="647" spans="1:9">
      <c r="A647" s="20"/>
      <c r="I647" s="20"/>
    </row>
    <row r="648" spans="1:9">
      <c r="A648" s="20"/>
      <c r="I648" s="20"/>
    </row>
    <row r="649" spans="1:9">
      <c r="A649" s="20"/>
      <c r="I649" s="20"/>
    </row>
    <row r="650" spans="1:9">
      <c r="A650" s="20"/>
      <c r="I650" s="20"/>
    </row>
    <row r="651" spans="1:9">
      <c r="A651" s="20"/>
      <c r="I651" s="20"/>
    </row>
    <row r="652" spans="1:9">
      <c r="A652" s="20"/>
      <c r="I652" s="20"/>
    </row>
    <row r="653" spans="1:9">
      <c r="A653" s="20"/>
      <c r="I653" s="20"/>
    </row>
    <row r="654" spans="1:9">
      <c r="A654" s="20"/>
      <c r="I654" s="20"/>
    </row>
    <row r="655" spans="1:9">
      <c r="A655" s="20"/>
      <c r="I655" s="20"/>
    </row>
    <row r="656" spans="1:9">
      <c r="A656" s="20"/>
      <c r="I656" s="20"/>
    </row>
    <row r="657" spans="1:9">
      <c r="A657" s="20"/>
      <c r="I657" s="20"/>
    </row>
    <row r="658" spans="1:9">
      <c r="A658" s="20"/>
      <c r="I658" s="20"/>
    </row>
    <row r="659" spans="1:9">
      <c r="A659" s="20"/>
      <c r="I659" s="20"/>
    </row>
    <row r="660" spans="1:9">
      <c r="A660" s="20"/>
      <c r="I660" s="20"/>
    </row>
    <row r="661" spans="1:9">
      <c r="A661" s="20"/>
      <c r="I661" s="20"/>
    </row>
    <row r="662" spans="1:9">
      <c r="A662" s="20"/>
      <c r="I662" s="20"/>
    </row>
    <row r="663" spans="1:9">
      <c r="A663" s="20"/>
      <c r="I663" s="20"/>
    </row>
    <row r="664" spans="1:9">
      <c r="A664" s="20"/>
      <c r="I664" s="20"/>
    </row>
    <row r="665" spans="1:9">
      <c r="A665" s="20"/>
      <c r="I665" s="20"/>
    </row>
    <row r="666" spans="1:9">
      <c r="A666" s="20"/>
      <c r="I666" s="20"/>
    </row>
    <row r="667" spans="1:9">
      <c r="A667" s="20"/>
      <c r="I667" s="20"/>
    </row>
    <row r="668" spans="1:9">
      <c r="A668" s="20"/>
      <c r="I668" s="20"/>
    </row>
    <row r="669" spans="1:9">
      <c r="A669" s="20"/>
      <c r="I669" s="20"/>
    </row>
    <row r="670" spans="1:9">
      <c r="A670" s="20"/>
      <c r="I670" s="20"/>
    </row>
    <row r="671" spans="1:9">
      <c r="A671" s="20"/>
      <c r="I671" s="20"/>
    </row>
    <row r="672" spans="1:9">
      <c r="A672" s="20"/>
      <c r="I672" s="20"/>
    </row>
    <row r="673" spans="1:9">
      <c r="A673" s="20"/>
      <c r="I673" s="20"/>
    </row>
    <row r="674" spans="1:9">
      <c r="A674" s="20"/>
      <c r="I674" s="20"/>
    </row>
    <row r="675" spans="1:9">
      <c r="A675" s="20"/>
      <c r="I675" s="20"/>
    </row>
    <row r="676" spans="1:9">
      <c r="A676" s="20"/>
      <c r="I676" s="20"/>
    </row>
    <row r="677" spans="1:9">
      <c r="A677" s="20"/>
      <c r="I677" s="20"/>
    </row>
    <row r="678" spans="1:9">
      <c r="A678" s="20"/>
      <c r="I678" s="20"/>
    </row>
    <row r="679" spans="1:9">
      <c r="A679" s="20"/>
      <c r="I679" s="20"/>
    </row>
    <row r="680" spans="1:9">
      <c r="A680" s="20"/>
      <c r="I680" s="20"/>
    </row>
    <row r="681" spans="1:9">
      <c r="A681" s="20"/>
      <c r="I681" s="20"/>
    </row>
    <row r="682" spans="1:9">
      <c r="A682" s="20"/>
      <c r="I682" s="20"/>
    </row>
    <row r="683" spans="1:9">
      <c r="A683" s="20"/>
      <c r="I683" s="20"/>
    </row>
    <row r="684" spans="1:9">
      <c r="A684" s="20"/>
      <c r="I684" s="20"/>
    </row>
    <row r="685" spans="1:9">
      <c r="A685" s="20"/>
      <c r="I685" s="20"/>
    </row>
    <row r="686" spans="1:9">
      <c r="A686" s="20"/>
      <c r="I686" s="20"/>
    </row>
    <row r="687" spans="1:9">
      <c r="A687" s="20"/>
      <c r="I687" s="20"/>
    </row>
    <row r="688" spans="1:9">
      <c r="A688" s="20"/>
      <c r="I688" s="20"/>
    </row>
    <row r="689" spans="1:9">
      <c r="A689" s="20"/>
      <c r="I689" s="20"/>
    </row>
    <row r="690" spans="1:9">
      <c r="A690" s="20"/>
      <c r="I690" s="20"/>
    </row>
    <row r="691" spans="1:9">
      <c r="A691" s="20"/>
      <c r="I691" s="20"/>
    </row>
    <row r="692" spans="1:9">
      <c r="A692" s="20"/>
      <c r="I692" s="20"/>
    </row>
    <row r="693" spans="1:9">
      <c r="A693" s="20"/>
      <c r="I693" s="20"/>
    </row>
    <row r="694" spans="1:9">
      <c r="A694" s="20"/>
      <c r="I694" s="20"/>
    </row>
    <row r="695" spans="1:9">
      <c r="A695" s="20"/>
      <c r="I695" s="20"/>
    </row>
    <row r="696" spans="1:9">
      <c r="A696" s="20"/>
      <c r="I696" s="20"/>
    </row>
    <row r="697" spans="1:9">
      <c r="A697" s="20"/>
      <c r="I697" s="20"/>
    </row>
    <row r="698" spans="1:9">
      <c r="A698" s="20"/>
      <c r="I698" s="20"/>
    </row>
    <row r="699" spans="1:9">
      <c r="A699" s="20"/>
      <c r="I699" s="20"/>
    </row>
    <row r="700" spans="1:9">
      <c r="A700" s="20"/>
      <c r="I700" s="20"/>
    </row>
    <row r="701" spans="1:9">
      <c r="A701" s="20"/>
      <c r="I701" s="20"/>
    </row>
    <row r="702" spans="1:9">
      <c r="A702" s="20"/>
      <c r="I702" s="20"/>
    </row>
    <row r="703" spans="1:9">
      <c r="A703" s="20"/>
      <c r="I703" s="20"/>
    </row>
    <row r="704" spans="1:9">
      <c r="A704" s="20"/>
      <c r="I704" s="20"/>
    </row>
    <row r="705" spans="1:9">
      <c r="A705" s="20"/>
      <c r="I705" s="20"/>
    </row>
    <row r="706" spans="1:9">
      <c r="A706" s="20"/>
      <c r="I706" s="20"/>
    </row>
    <row r="707" spans="1:9">
      <c r="A707" s="20"/>
      <c r="I707" s="20"/>
    </row>
    <row r="708" spans="1:9">
      <c r="A708" s="20"/>
      <c r="I708" s="20"/>
    </row>
    <row r="709" spans="1:9">
      <c r="A709" s="20"/>
      <c r="I709" s="20"/>
    </row>
    <row r="710" spans="1:9">
      <c r="A710" s="20"/>
      <c r="I710" s="20"/>
    </row>
    <row r="711" spans="1:9">
      <c r="A711" s="20"/>
      <c r="I711" s="20"/>
    </row>
    <row r="712" spans="1:9">
      <c r="A712" s="20"/>
      <c r="I712" s="20"/>
    </row>
    <row r="713" spans="1:9">
      <c r="A713" s="20"/>
      <c r="I713" s="20"/>
    </row>
    <row r="714" spans="1:9">
      <c r="A714" s="20"/>
      <c r="I714" s="20"/>
    </row>
    <row r="715" spans="1:9">
      <c r="A715" s="20"/>
      <c r="I715" s="20"/>
    </row>
    <row r="716" spans="1:9">
      <c r="A716" s="20"/>
      <c r="I716" s="20"/>
    </row>
    <row r="717" spans="1:9">
      <c r="A717" s="20"/>
      <c r="I717" s="20"/>
    </row>
    <row r="718" spans="1:9">
      <c r="A718" s="20"/>
      <c r="I718" s="20"/>
    </row>
    <row r="719" spans="1:9">
      <c r="A719" s="20"/>
      <c r="I719" s="20"/>
    </row>
    <row r="720" spans="1:9">
      <c r="A720" s="20"/>
      <c r="I720" s="20"/>
    </row>
    <row r="721" spans="1:9">
      <c r="A721" s="20"/>
      <c r="I721" s="20"/>
    </row>
    <row r="722" spans="1:9">
      <c r="A722" s="20"/>
      <c r="I722" s="20"/>
    </row>
    <row r="723" spans="1:9">
      <c r="A723" s="20"/>
      <c r="I723" s="20"/>
    </row>
    <row r="724" spans="1:9">
      <c r="A724" s="20"/>
      <c r="I724" s="20"/>
    </row>
    <row r="725" spans="1:9">
      <c r="A725" s="20"/>
      <c r="I725" s="20"/>
    </row>
    <row r="726" spans="1:9">
      <c r="A726" s="20"/>
      <c r="I726" s="20"/>
    </row>
    <row r="727" spans="1:9">
      <c r="A727" s="20"/>
      <c r="I727" s="20"/>
    </row>
    <row r="728" spans="1:9">
      <c r="A728" s="20"/>
      <c r="I728" s="20"/>
    </row>
    <row r="729" spans="1:9">
      <c r="A729" s="20"/>
      <c r="I729" s="20"/>
    </row>
    <row r="730" spans="1:9">
      <c r="A730" s="20"/>
      <c r="I730" s="20"/>
    </row>
    <row r="731" spans="1:9">
      <c r="A731" s="20"/>
      <c r="I731" s="20"/>
    </row>
    <row r="732" spans="1:9">
      <c r="A732" s="20"/>
      <c r="I732" s="20"/>
    </row>
    <row r="733" spans="1:9">
      <c r="A733" s="20"/>
      <c r="I733" s="20"/>
    </row>
    <row r="734" spans="1:9">
      <c r="A734" s="20"/>
      <c r="I734" s="20"/>
    </row>
    <row r="735" spans="1:9">
      <c r="A735" s="20"/>
      <c r="I735" s="20"/>
    </row>
    <row r="736" spans="1:9">
      <c r="A736" s="20"/>
      <c r="I736" s="20"/>
    </row>
    <row r="737" spans="1:9">
      <c r="A737" s="20"/>
      <c r="I737" s="20"/>
    </row>
    <row r="738" spans="1:9">
      <c r="A738" s="20"/>
      <c r="I738" s="20"/>
    </row>
    <row r="739" spans="1:9">
      <c r="A739" s="20"/>
      <c r="I739" s="20"/>
    </row>
    <row r="740" spans="1:9">
      <c r="A740" s="20"/>
      <c r="I740" s="20"/>
    </row>
    <row r="741" spans="1:9">
      <c r="A741" s="20"/>
      <c r="I741" s="20"/>
    </row>
    <row r="742" spans="1:9">
      <c r="A742" s="20"/>
      <c r="I742" s="20"/>
    </row>
    <row r="743" spans="1:9">
      <c r="A743" s="20"/>
      <c r="I743" s="20"/>
    </row>
    <row r="744" spans="1:9">
      <c r="A744" s="20"/>
      <c r="I744" s="20"/>
    </row>
    <row r="745" spans="1:9">
      <c r="A745" s="20"/>
      <c r="I745" s="20"/>
    </row>
    <row r="746" spans="1:9">
      <c r="A746" s="20"/>
      <c r="I746" s="20"/>
    </row>
    <row r="747" spans="1:9">
      <c r="A747" s="20"/>
      <c r="I747" s="20"/>
    </row>
    <row r="748" spans="1:9">
      <c r="A748" s="20"/>
      <c r="I748" s="20"/>
    </row>
    <row r="749" spans="1:9">
      <c r="A749" s="20"/>
      <c r="I749" s="20"/>
    </row>
    <row r="750" spans="1:9">
      <c r="A750" s="20"/>
      <c r="I750" s="20"/>
    </row>
    <row r="751" spans="1:9">
      <c r="A751" s="20"/>
      <c r="I751" s="20"/>
    </row>
    <row r="752" spans="1:9">
      <c r="A752" s="20"/>
      <c r="I752" s="20"/>
    </row>
    <row r="753" spans="1:9">
      <c r="A753" s="20"/>
      <c r="I753" s="20"/>
    </row>
    <row r="754" spans="1:9">
      <c r="A754" s="20"/>
      <c r="I754" s="20"/>
    </row>
    <row r="755" spans="1:9">
      <c r="A755" s="20"/>
      <c r="I755" s="20"/>
    </row>
    <row r="756" spans="1:9">
      <c r="A756" s="20"/>
      <c r="I756" s="20"/>
    </row>
    <row r="757" spans="1:9">
      <c r="A757" s="20"/>
      <c r="I757" s="20"/>
    </row>
    <row r="758" spans="1:9">
      <c r="A758" s="20"/>
      <c r="I758" s="20"/>
    </row>
    <row r="759" spans="1:9">
      <c r="A759" s="20"/>
      <c r="I759" s="20"/>
    </row>
    <row r="760" spans="1:9">
      <c r="A760" s="20"/>
      <c r="I760" s="20"/>
    </row>
    <row r="761" spans="1:9">
      <c r="A761" s="20"/>
      <c r="I761" s="20"/>
    </row>
    <row r="762" spans="1:9">
      <c r="A762" s="20"/>
      <c r="I762" s="20"/>
    </row>
    <row r="763" spans="1:9">
      <c r="A763" s="20"/>
      <c r="I763" s="20"/>
    </row>
    <row r="764" spans="1:9">
      <c r="A764" s="20"/>
      <c r="I764" s="20"/>
    </row>
    <row r="765" spans="1:9">
      <c r="A765" s="20"/>
      <c r="I765" s="20"/>
    </row>
    <row r="766" spans="1:9">
      <c r="A766" s="20"/>
      <c r="I766" s="20"/>
    </row>
    <row r="767" spans="1:9">
      <c r="A767" s="20"/>
      <c r="I767" s="20"/>
    </row>
    <row r="768" spans="1:9">
      <c r="A768" s="20"/>
      <c r="I768" s="20"/>
    </row>
    <row r="769" spans="1:9">
      <c r="A769" s="20"/>
      <c r="I769" s="20"/>
    </row>
    <row r="770" spans="1:9">
      <c r="A770" s="20"/>
      <c r="I770" s="20"/>
    </row>
    <row r="771" spans="1:9">
      <c r="A771" s="20"/>
      <c r="I771" s="20"/>
    </row>
    <row r="772" spans="1:9">
      <c r="A772" s="20"/>
      <c r="I772" s="20"/>
    </row>
    <row r="773" spans="1:9">
      <c r="A773" s="20"/>
      <c r="I773" s="20"/>
    </row>
    <row r="774" spans="1:9">
      <c r="A774" s="20"/>
      <c r="I774" s="20"/>
    </row>
    <row r="775" spans="1:9">
      <c r="A775" s="20"/>
      <c r="I775" s="20"/>
    </row>
    <row r="776" spans="1:9">
      <c r="A776" s="20"/>
      <c r="I776" s="20"/>
    </row>
    <row r="777" spans="1:9">
      <c r="A777" s="20"/>
      <c r="I777" s="20"/>
    </row>
    <row r="778" spans="1:9">
      <c r="A778" s="20"/>
      <c r="I778" s="20"/>
    </row>
    <row r="779" spans="1:9">
      <c r="A779" s="20"/>
      <c r="I779" s="20"/>
    </row>
    <row r="780" spans="1:9">
      <c r="A780" s="20"/>
      <c r="I780" s="20"/>
    </row>
    <row r="781" spans="1:9">
      <c r="A781" s="20"/>
      <c r="I781" s="20"/>
    </row>
    <row r="782" spans="1:9">
      <c r="A782" s="20"/>
      <c r="I782" s="20"/>
    </row>
    <row r="783" spans="1:9">
      <c r="A783" s="20"/>
      <c r="I783" s="20"/>
    </row>
    <row r="784" spans="1:9">
      <c r="A784" s="20"/>
      <c r="I784" s="20"/>
    </row>
    <row r="785" spans="1:9">
      <c r="A785" s="20"/>
      <c r="I785" s="20"/>
    </row>
    <row r="786" spans="1:9">
      <c r="A786" s="20"/>
      <c r="I786" s="20"/>
    </row>
    <row r="787" spans="1:9">
      <c r="A787" s="20"/>
      <c r="I787" s="20"/>
    </row>
    <row r="788" spans="1:9">
      <c r="A788" s="20"/>
      <c r="I788" s="20"/>
    </row>
    <row r="789" spans="1:9">
      <c r="A789" s="20"/>
      <c r="I789" s="20"/>
    </row>
    <row r="790" spans="1:9">
      <c r="A790" s="20"/>
      <c r="I790" s="20"/>
    </row>
    <row r="791" spans="1:9">
      <c r="A791" s="20"/>
      <c r="I791" s="20"/>
    </row>
    <row r="792" spans="1:9">
      <c r="A792" s="20"/>
      <c r="I792" s="20"/>
    </row>
    <row r="793" spans="1:9">
      <c r="A793" s="20"/>
      <c r="I793" s="20"/>
    </row>
    <row r="794" spans="1:9">
      <c r="A794" s="20"/>
      <c r="I794" s="20"/>
    </row>
    <row r="795" spans="1:9">
      <c r="A795" s="20"/>
      <c r="I795" s="20"/>
    </row>
    <row r="796" spans="1:9">
      <c r="A796" s="20"/>
      <c r="I796" s="20"/>
    </row>
    <row r="797" spans="1:9">
      <c r="A797" s="20"/>
      <c r="I797" s="20"/>
    </row>
    <row r="798" spans="1:9">
      <c r="A798" s="20"/>
      <c r="I798" s="20"/>
    </row>
    <row r="799" spans="1:9">
      <c r="A799" s="20"/>
      <c r="I799" s="20"/>
    </row>
    <row r="800" spans="1:9">
      <c r="A800" s="20"/>
      <c r="I800" s="20"/>
    </row>
    <row r="801" spans="1:9">
      <c r="A801" s="20"/>
      <c r="I801" s="20"/>
    </row>
    <row r="802" spans="1:9">
      <c r="A802" s="20"/>
      <c r="I802" s="20"/>
    </row>
    <row r="803" spans="1:9">
      <c r="A803" s="20"/>
      <c r="I803" s="20"/>
    </row>
    <row r="804" spans="1:9">
      <c r="A804" s="20"/>
      <c r="I804" s="20"/>
    </row>
    <row r="805" spans="1:9">
      <c r="A805" s="20"/>
      <c r="I805" s="20"/>
    </row>
    <row r="806" spans="1:9">
      <c r="A806" s="20"/>
      <c r="I806" s="20"/>
    </row>
    <row r="807" spans="1:9">
      <c r="A807" s="20"/>
      <c r="I807" s="20"/>
    </row>
    <row r="808" spans="1:9">
      <c r="A808" s="20"/>
      <c r="I808" s="20"/>
    </row>
    <row r="809" spans="1:9">
      <c r="A809" s="20"/>
      <c r="I809" s="20"/>
    </row>
    <row r="810" spans="1:9">
      <c r="A810" s="20"/>
      <c r="I810" s="20"/>
    </row>
    <row r="811" spans="1:9">
      <c r="A811" s="20"/>
      <c r="I811" s="20"/>
    </row>
    <row r="812" spans="1:9">
      <c r="A812" s="20"/>
      <c r="I812" s="20"/>
    </row>
    <row r="813" spans="1:9">
      <c r="A813" s="20"/>
      <c r="I813" s="20"/>
    </row>
    <row r="814" spans="1:9">
      <c r="A814" s="20"/>
      <c r="I814" s="20"/>
    </row>
    <row r="815" spans="1:9">
      <c r="A815" s="20"/>
      <c r="I815" s="20"/>
    </row>
    <row r="816" spans="1:9">
      <c r="A816" s="20"/>
      <c r="I816" s="20"/>
    </row>
    <row r="817" spans="1:9">
      <c r="A817" s="20"/>
      <c r="I817" s="20"/>
    </row>
    <row r="818" spans="1:9">
      <c r="A818" s="20"/>
      <c r="I818" s="20"/>
    </row>
    <row r="819" spans="1:9">
      <c r="A819" s="20"/>
      <c r="I819" s="20"/>
    </row>
    <row r="820" spans="1:9">
      <c r="A820" s="20"/>
      <c r="I820" s="20"/>
    </row>
    <row r="821" spans="1:9">
      <c r="A821" s="20"/>
      <c r="I821" s="20"/>
    </row>
    <row r="822" spans="1:9">
      <c r="A822" s="20"/>
      <c r="I822" s="20"/>
    </row>
    <row r="823" spans="1:9">
      <c r="A823" s="20"/>
      <c r="I823" s="20"/>
    </row>
    <row r="824" spans="1:9">
      <c r="A824" s="20"/>
      <c r="I824" s="20"/>
    </row>
    <row r="825" spans="1:9">
      <c r="A825" s="20"/>
      <c r="I825" s="20"/>
    </row>
    <row r="826" spans="1:9">
      <c r="A826" s="20"/>
      <c r="I826" s="20"/>
    </row>
    <row r="827" spans="1:9">
      <c r="A827" s="20"/>
      <c r="I827" s="20"/>
    </row>
    <row r="828" spans="1:9">
      <c r="A828" s="20"/>
      <c r="I828" s="20"/>
    </row>
    <row r="829" spans="1:9">
      <c r="A829" s="20"/>
      <c r="I829" s="20"/>
    </row>
    <row r="830" spans="1:9">
      <c r="A830" s="20"/>
      <c r="I830" s="20"/>
    </row>
    <row r="831" spans="1:9">
      <c r="A831" s="20"/>
      <c r="I831" s="20"/>
    </row>
    <row r="832" spans="1:9">
      <c r="A832" s="20"/>
      <c r="I832" s="20"/>
    </row>
    <row r="833" spans="1:9">
      <c r="A833" s="20"/>
      <c r="I833" s="20"/>
    </row>
    <row r="834" spans="1:9">
      <c r="A834" s="20"/>
      <c r="I834" s="20"/>
    </row>
    <row r="835" spans="1:9">
      <c r="A835" s="20"/>
      <c r="I835" s="20"/>
    </row>
    <row r="836" spans="1:9">
      <c r="A836" s="20"/>
      <c r="I836" s="20"/>
    </row>
    <row r="837" spans="1:9">
      <c r="A837" s="20"/>
      <c r="I837" s="20"/>
    </row>
    <row r="838" spans="1:9">
      <c r="A838" s="20"/>
      <c r="I838" s="20"/>
    </row>
    <row r="839" spans="1:9">
      <c r="A839" s="20"/>
      <c r="I839" s="20"/>
    </row>
    <row r="840" spans="1:9">
      <c r="A840" s="20"/>
      <c r="I840" s="20"/>
    </row>
    <row r="841" spans="1:9">
      <c r="A841" s="20"/>
      <c r="I841" s="20"/>
    </row>
    <row r="842" spans="1:9">
      <c r="A842" s="20"/>
      <c r="I842" s="20"/>
    </row>
    <row r="843" spans="1:9">
      <c r="A843" s="20"/>
      <c r="I843" s="20"/>
    </row>
    <row r="844" spans="1:9">
      <c r="A844" s="20"/>
      <c r="I844" s="20"/>
    </row>
    <row r="845" spans="1:9">
      <c r="A845" s="20"/>
      <c r="I845" s="20"/>
    </row>
    <row r="846" spans="1:9">
      <c r="A846" s="20"/>
      <c r="I846" s="20"/>
    </row>
    <row r="847" spans="1:9">
      <c r="A847" s="20"/>
      <c r="I847" s="20"/>
    </row>
    <row r="848" spans="1:9">
      <c r="A848" s="20"/>
      <c r="I848" s="20"/>
    </row>
    <row r="849" spans="1:9">
      <c r="A849" s="20"/>
      <c r="I849" s="20"/>
    </row>
    <row r="850" spans="1:9">
      <c r="A850" s="20"/>
      <c r="I850" s="20"/>
    </row>
    <row r="851" spans="1:9">
      <c r="A851" s="20"/>
      <c r="I851" s="20"/>
    </row>
    <row r="852" spans="1:9">
      <c r="A852" s="20"/>
      <c r="I852" s="20"/>
    </row>
    <row r="853" spans="1:9">
      <c r="A853" s="20"/>
      <c r="I853" s="20"/>
    </row>
    <row r="854" spans="1:9">
      <c r="A854" s="20"/>
      <c r="I854" s="20"/>
    </row>
    <row r="855" spans="1:9">
      <c r="A855" s="20"/>
      <c r="I855" s="20"/>
    </row>
    <row r="856" spans="1:9">
      <c r="A856" s="20"/>
      <c r="I856" s="20"/>
    </row>
    <row r="857" spans="1:9">
      <c r="A857" s="20"/>
      <c r="I857" s="20"/>
    </row>
    <row r="858" spans="1:9">
      <c r="A858" s="20"/>
      <c r="I858" s="20"/>
    </row>
    <row r="859" spans="1:9">
      <c r="A859" s="20"/>
      <c r="I859" s="20"/>
    </row>
    <row r="860" spans="1:9">
      <c r="A860" s="20"/>
      <c r="I860" s="20"/>
    </row>
    <row r="861" spans="1:9">
      <c r="A861" s="20"/>
      <c r="I861" s="20"/>
    </row>
    <row r="862" spans="1:9">
      <c r="A862" s="20"/>
      <c r="I862" s="20"/>
    </row>
    <row r="863" spans="1:9">
      <c r="A863" s="20"/>
      <c r="I863" s="20"/>
    </row>
    <row r="864" spans="1:9">
      <c r="A864" s="20"/>
      <c r="I864" s="20"/>
    </row>
    <row r="865" spans="1:9">
      <c r="A865" s="20"/>
      <c r="I865" s="20"/>
    </row>
    <row r="866" spans="1:9">
      <c r="A866" s="20"/>
      <c r="I866" s="20"/>
    </row>
    <row r="867" spans="1:9">
      <c r="A867" s="20"/>
      <c r="I867" s="20"/>
    </row>
    <row r="868" spans="1:9">
      <c r="A868" s="20"/>
      <c r="I868" s="20"/>
    </row>
    <row r="869" spans="1:9">
      <c r="A869" s="20"/>
      <c r="I869" s="20"/>
    </row>
    <row r="870" spans="1:9">
      <c r="A870" s="20"/>
      <c r="I870" s="20"/>
    </row>
    <row r="871" spans="1:9">
      <c r="A871" s="20"/>
      <c r="I871" s="20"/>
    </row>
    <row r="872" spans="1:9">
      <c r="A872" s="20"/>
      <c r="I872" s="20"/>
    </row>
    <row r="873" spans="1:9">
      <c r="A873" s="20"/>
      <c r="I873" s="20"/>
    </row>
    <row r="874" spans="1:9">
      <c r="A874" s="20"/>
      <c r="I874" s="20"/>
    </row>
    <row r="875" spans="1:9">
      <c r="A875" s="20"/>
      <c r="I875" s="20"/>
    </row>
    <row r="876" spans="1:9">
      <c r="A876" s="20"/>
      <c r="I876" s="20"/>
    </row>
    <row r="877" spans="1:9">
      <c r="A877" s="20"/>
      <c r="I877" s="20"/>
    </row>
    <row r="878" spans="1:9">
      <c r="A878" s="20"/>
      <c r="I878" s="20"/>
    </row>
    <row r="879" spans="1:9">
      <c r="A879" s="20"/>
      <c r="I879" s="20"/>
    </row>
    <row r="880" spans="1:9">
      <c r="A880" s="20"/>
      <c r="I880" s="20"/>
    </row>
    <row r="881" spans="1:9">
      <c r="A881" s="20"/>
      <c r="I881" s="20"/>
    </row>
    <row r="882" spans="1:9">
      <c r="A882" s="20"/>
      <c r="I882" s="20"/>
    </row>
    <row r="883" spans="1:9">
      <c r="A883" s="20"/>
      <c r="I883" s="20"/>
    </row>
    <row r="884" spans="1:9">
      <c r="A884" s="20"/>
      <c r="I884" s="20"/>
    </row>
    <row r="885" spans="1:9">
      <c r="A885" s="20"/>
      <c r="I885" s="20"/>
    </row>
    <row r="886" spans="1:9">
      <c r="A886" s="20"/>
      <c r="I886" s="20"/>
    </row>
    <row r="887" spans="1:9">
      <c r="A887" s="20"/>
      <c r="I887" s="20"/>
    </row>
    <row r="888" spans="1:9">
      <c r="A888" s="20"/>
      <c r="I888" s="20"/>
    </row>
    <row r="889" spans="1:9">
      <c r="A889" s="20"/>
      <c r="I889" s="20"/>
    </row>
    <row r="890" spans="1:9">
      <c r="A890" s="20"/>
      <c r="I890" s="20"/>
    </row>
    <row r="891" spans="1:9">
      <c r="A891" s="20"/>
      <c r="I891" s="20"/>
    </row>
    <row r="892" spans="1:9">
      <c r="A892" s="20"/>
      <c r="I892" s="20"/>
    </row>
    <row r="893" spans="1:9">
      <c r="A893" s="20"/>
      <c r="I893" s="20"/>
    </row>
    <row r="894" spans="1:9">
      <c r="A894" s="20"/>
      <c r="I894" s="20"/>
    </row>
    <row r="895" spans="1:9">
      <c r="A895" s="20"/>
      <c r="I895" s="20"/>
    </row>
    <row r="896" spans="1:9">
      <c r="A896" s="20"/>
      <c r="I896" s="20"/>
    </row>
    <row r="897" spans="1:9">
      <c r="A897" s="20"/>
      <c r="I897" s="20"/>
    </row>
    <row r="898" spans="1:9">
      <c r="A898" s="20"/>
      <c r="I898" s="20"/>
    </row>
    <row r="899" spans="1:9">
      <c r="A899" s="20"/>
      <c r="I899" s="20"/>
    </row>
    <row r="900" spans="1:9">
      <c r="A900" s="20"/>
      <c r="I900" s="20"/>
    </row>
    <row r="901" spans="1:9">
      <c r="A901" s="20"/>
      <c r="I901" s="20"/>
    </row>
    <row r="902" spans="1:9">
      <c r="A902" s="20"/>
      <c r="I902" s="20"/>
    </row>
    <row r="903" spans="1:9">
      <c r="A903" s="20"/>
      <c r="I903" s="20"/>
    </row>
    <row r="904" spans="1:9">
      <c r="A904" s="20"/>
      <c r="I904" s="20"/>
    </row>
    <row r="905" spans="1:9">
      <c r="A905" s="20"/>
      <c r="I905" s="20"/>
    </row>
    <row r="906" spans="1:9">
      <c r="A906" s="20"/>
      <c r="I906" s="20"/>
    </row>
    <row r="907" spans="1:9">
      <c r="A907" s="20"/>
      <c r="I907" s="20"/>
    </row>
    <row r="908" spans="1:9">
      <c r="A908" s="20"/>
      <c r="I908" s="20"/>
    </row>
    <row r="909" spans="1:9">
      <c r="A909" s="20"/>
      <c r="I909" s="20"/>
    </row>
    <row r="910" spans="1:9">
      <c r="A910" s="20"/>
      <c r="I910" s="20"/>
    </row>
    <row r="911" spans="1:9">
      <c r="A911" s="20"/>
      <c r="I911" s="20"/>
    </row>
    <row r="912" spans="1:9">
      <c r="A912" s="20"/>
      <c r="I912" s="20"/>
    </row>
    <row r="913" spans="1:9">
      <c r="A913" s="20"/>
      <c r="I913" s="20"/>
    </row>
    <row r="914" spans="1:9">
      <c r="A914" s="20"/>
      <c r="I914" s="20"/>
    </row>
    <row r="915" spans="1:9">
      <c r="A915" s="20"/>
      <c r="I915" s="20"/>
    </row>
    <row r="916" spans="1:9">
      <c r="A916" s="20"/>
      <c r="I916" s="20"/>
    </row>
    <row r="917" spans="1:9">
      <c r="A917" s="20"/>
      <c r="I917" s="20"/>
    </row>
    <row r="918" spans="1:9">
      <c r="A918" s="20"/>
      <c r="I918" s="20"/>
    </row>
    <row r="919" spans="1:9">
      <c r="A919" s="20"/>
      <c r="I919" s="20"/>
    </row>
    <row r="920" spans="1:9">
      <c r="A920" s="20"/>
      <c r="I920" s="20"/>
    </row>
    <row r="921" spans="1:9">
      <c r="A921" s="20"/>
      <c r="I921" s="20"/>
    </row>
    <row r="922" spans="1:9">
      <c r="A922" s="20"/>
      <c r="I922" s="20"/>
    </row>
    <row r="923" spans="1:9">
      <c r="A923" s="20"/>
      <c r="I923" s="20"/>
    </row>
    <row r="924" spans="1:9">
      <c r="A924" s="20"/>
      <c r="I924" s="20"/>
    </row>
    <row r="925" spans="1:9">
      <c r="A925" s="20"/>
      <c r="I925" s="20"/>
    </row>
    <row r="926" spans="1:9">
      <c r="A926" s="20"/>
      <c r="I926" s="20"/>
    </row>
    <row r="927" spans="1:9">
      <c r="A927" s="20"/>
      <c r="I927" s="20"/>
    </row>
    <row r="928" spans="1:9">
      <c r="A928" s="20"/>
      <c r="I928" s="20"/>
    </row>
    <row r="929" spans="1:9">
      <c r="A929" s="20"/>
      <c r="I929" s="20"/>
    </row>
    <row r="930" spans="1:9">
      <c r="A930" s="20"/>
      <c r="I930" s="20"/>
    </row>
    <row r="931" spans="1:9">
      <c r="A931" s="20"/>
      <c r="I931" s="20"/>
    </row>
    <row r="932" spans="1:9">
      <c r="A932" s="20"/>
      <c r="I932" s="20"/>
    </row>
    <row r="933" spans="1:9">
      <c r="A933" s="20"/>
      <c r="I933" s="20"/>
    </row>
    <row r="934" spans="1:9">
      <c r="A934" s="20"/>
      <c r="I934" s="20"/>
    </row>
    <row r="935" spans="1:9">
      <c r="A935" s="20"/>
      <c r="I935" s="20"/>
    </row>
    <row r="936" spans="1:9">
      <c r="A936" s="20"/>
      <c r="I936" s="20"/>
    </row>
    <row r="937" spans="1:9">
      <c r="A937" s="20"/>
      <c r="I937" s="20"/>
    </row>
    <row r="938" spans="1:9">
      <c r="A938" s="20"/>
      <c r="I938" s="20"/>
    </row>
    <row r="939" spans="1:9">
      <c r="A939" s="20"/>
      <c r="I939" s="20"/>
    </row>
    <row r="940" spans="1:9">
      <c r="A940" s="20"/>
      <c r="I940" s="20"/>
    </row>
    <row r="941" spans="1:9">
      <c r="A941" s="20"/>
      <c r="I941" s="20"/>
    </row>
    <row r="942" spans="1:9">
      <c r="A942" s="20"/>
      <c r="I942" s="20"/>
    </row>
    <row r="943" spans="1:9">
      <c r="A943" s="20"/>
      <c r="I943" s="20"/>
    </row>
    <row r="944" spans="1:9">
      <c r="A944" s="20"/>
      <c r="I944" s="20"/>
    </row>
    <row r="945" spans="1:9">
      <c r="A945" s="20"/>
      <c r="I945" s="20"/>
    </row>
    <row r="946" spans="1:9">
      <c r="A946" s="20"/>
      <c r="I946" s="20"/>
    </row>
    <row r="947" spans="1:9">
      <c r="A947" s="20"/>
      <c r="I947" s="20"/>
    </row>
    <row r="948" spans="1:9">
      <c r="A948" s="20"/>
      <c r="I948" s="20"/>
    </row>
    <row r="949" spans="1:9">
      <c r="A949" s="20"/>
      <c r="I949" s="20"/>
    </row>
    <row r="950" spans="1:9">
      <c r="A950" s="20"/>
      <c r="I950" s="20"/>
    </row>
    <row r="951" spans="1:9">
      <c r="A951" s="20"/>
      <c r="I951" s="20"/>
    </row>
    <row r="952" spans="1:9">
      <c r="A952" s="20"/>
      <c r="I952" s="20"/>
    </row>
    <row r="953" spans="1:9">
      <c r="A953" s="20"/>
      <c r="I953" s="20"/>
    </row>
    <row r="954" spans="1:9">
      <c r="A954" s="20"/>
      <c r="I954" s="20"/>
    </row>
    <row r="955" spans="1:9">
      <c r="A955" s="20"/>
      <c r="I955" s="20"/>
    </row>
    <row r="956" spans="1:9">
      <c r="A956" s="20"/>
      <c r="I956" s="20"/>
    </row>
    <row r="957" spans="1:9">
      <c r="A957" s="20"/>
      <c r="I957" s="20"/>
    </row>
    <row r="958" spans="1:9">
      <c r="A958" s="20"/>
      <c r="I958" s="20"/>
    </row>
    <row r="959" spans="1:9">
      <c r="A959" s="20"/>
      <c r="I959" s="20"/>
    </row>
    <row r="960" spans="1:9">
      <c r="A960" s="20"/>
      <c r="I960" s="20"/>
    </row>
    <row r="961" spans="1:9">
      <c r="A961" s="20"/>
      <c r="I961" s="20"/>
    </row>
    <row r="962" spans="1:9">
      <c r="A962" s="20"/>
      <c r="I962" s="20"/>
    </row>
    <row r="963" spans="1:9">
      <c r="A963" s="20"/>
      <c r="I963" s="20"/>
    </row>
    <row r="964" spans="1:9">
      <c r="A964" s="20"/>
      <c r="I964" s="20"/>
    </row>
    <row r="965" spans="1:9">
      <c r="A965" s="20"/>
      <c r="I965" s="20"/>
    </row>
    <row r="966" spans="1:9">
      <c r="A966" s="20"/>
      <c r="I966" s="20"/>
    </row>
    <row r="967" spans="1:9">
      <c r="A967" s="20"/>
      <c r="I967" s="20"/>
    </row>
    <row r="968" spans="1:9">
      <c r="A968" s="20"/>
      <c r="I968" s="20"/>
    </row>
    <row r="969" spans="1:9">
      <c r="A969" s="20"/>
      <c r="I969" s="20"/>
    </row>
    <row r="970" spans="1:9">
      <c r="A970" s="20"/>
      <c r="I970" s="20"/>
    </row>
    <row r="971" spans="1:9">
      <c r="A971" s="20"/>
      <c r="I971" s="20"/>
    </row>
    <row r="972" spans="1:9">
      <c r="A972" s="20"/>
      <c r="I972" s="20"/>
    </row>
    <row r="973" spans="1:9">
      <c r="A973" s="20"/>
      <c r="I973" s="20"/>
    </row>
    <row r="974" spans="1:9">
      <c r="A974" s="20"/>
      <c r="I974" s="20"/>
    </row>
    <row r="975" spans="1:9">
      <c r="A975" s="20"/>
      <c r="I975" s="20"/>
    </row>
    <row r="976" spans="1:9">
      <c r="A976" s="20"/>
      <c r="I976" s="20"/>
    </row>
    <row r="977" spans="1:9">
      <c r="A977" s="20"/>
      <c r="I977" s="20"/>
    </row>
    <row r="978" spans="1:9">
      <c r="A978" s="20"/>
      <c r="I978" s="20"/>
    </row>
    <row r="979" spans="1:9">
      <c r="A979" s="20"/>
      <c r="I979" s="20"/>
    </row>
    <row r="980" spans="1:9">
      <c r="A980" s="20"/>
      <c r="I980" s="20"/>
    </row>
    <row r="981" spans="1:9">
      <c r="A981" s="20"/>
      <c r="I981" s="20"/>
    </row>
    <row r="982" spans="1:9">
      <c r="A982" s="20"/>
      <c r="I982" s="20"/>
    </row>
    <row r="983" spans="1:9">
      <c r="A983" s="20"/>
      <c r="I983" s="20"/>
    </row>
    <row r="984" spans="1:9">
      <c r="A984" s="20"/>
      <c r="I984" s="20"/>
    </row>
    <row r="985" spans="1:9">
      <c r="A985" s="20"/>
      <c r="I985" s="20"/>
    </row>
    <row r="986" spans="1:9">
      <c r="A986" s="20"/>
      <c r="I986" s="20"/>
    </row>
    <row r="987" spans="1:9">
      <c r="A987" s="20"/>
      <c r="I987" s="20"/>
    </row>
    <row r="988" spans="1:9">
      <c r="A988" s="20"/>
      <c r="I988" s="20"/>
    </row>
    <row r="989" spans="1:9">
      <c r="A989" s="20"/>
      <c r="I989" s="20"/>
    </row>
    <row r="990" spans="1:9">
      <c r="A990" s="20"/>
      <c r="I990" s="20"/>
    </row>
    <row r="991" spans="1:9">
      <c r="A991" s="20"/>
      <c r="I991" s="20"/>
    </row>
    <row r="992" spans="1:9">
      <c r="A992" s="20"/>
      <c r="I992" s="20"/>
    </row>
    <row r="993" spans="1:9">
      <c r="A993" s="20"/>
      <c r="I993" s="20"/>
    </row>
    <row r="994" spans="1:9">
      <c r="A994" s="20"/>
      <c r="I994" s="20"/>
    </row>
    <row r="995" spans="1:9">
      <c r="A995" s="20"/>
      <c r="I995" s="20"/>
    </row>
    <row r="996" spans="1:9">
      <c r="A996" s="20"/>
      <c r="I996" s="20"/>
    </row>
    <row r="997" spans="1:9">
      <c r="A997" s="20"/>
      <c r="I997" s="20"/>
    </row>
    <row r="998" spans="1:9">
      <c r="A998" s="20"/>
      <c r="I998" s="20"/>
    </row>
    <row r="999" spans="1:9">
      <c r="A999" s="20"/>
      <c r="I999" s="20"/>
    </row>
    <row r="1000" spans="1:9">
      <c r="A1000" s="20"/>
      <c r="I1000" s="20"/>
    </row>
  </sheetData>
  <autoFilter ref="A1:G34" xr:uid="{00000000-0009-0000-0000-000001000000}"/>
  <conditionalFormatting sqref="O1:O35 V2:V31 A2:A33 I2:I33">
    <cfRule type="containsText" dxfId="36" priority="6" operator="containsText" text="2024">
      <formula>NOT(ISERROR(SEARCH(("2024"),(O1))))</formula>
    </cfRule>
    <cfRule type="containsText" dxfId="35" priority="7" operator="containsText" text="2025">
      <formula>NOT(ISERROR(SEARCH(("2025"),(O1))))</formula>
    </cfRule>
  </conditionalFormatting>
  <conditionalFormatting sqref="O1:O1000 V2:V31 A2:A33 I2:I33">
    <cfRule type="containsText" dxfId="34" priority="8" operator="containsText" text="2026">
      <formula>NOT(ISERROR(SEARCH(("2026"),(O1))))</formula>
    </cfRule>
  </conditionalFormatting>
  <conditionalFormatting sqref="Q2:S2 Q3:Q35">
    <cfRule type="cellIs" dxfId="33" priority="1" operator="between">
      <formula>"01/01/2024"</formula>
      <formula>"31/12/2024"</formula>
    </cfRule>
    <cfRule type="cellIs" dxfId="32" priority="2" operator="between">
      <formula>"01/01/2025"</formula>
      <formula>"31/12/2025"</formula>
    </cfRule>
    <cfRule type="cellIs" dxfId="31" priority="3" operator="between">
      <formula>"01/01/2026"</formula>
      <formula>"31/12/2026"</formula>
    </cfRule>
    <cfRule type="cellIs" dxfId="30" priority="4" operator="between">
      <formula>"01/01/2027"</formula>
      <formula>"31/12/2027"</formula>
    </cfRule>
    <cfRule type="cellIs" dxfId="29" priority="5" operator="between">
      <formula>"01/01/2028"</formula>
      <formula>"31/12/2028"</formula>
    </cfRule>
  </conditionalFormatting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8761D"/>
    <outlinePr summaryBelow="0" summaryRight="0"/>
  </sheetPr>
  <dimension ref="A1:W999"/>
  <sheetViews>
    <sheetView workbookViewId="0"/>
  </sheetViews>
  <sheetFormatPr defaultColWidth="11.25" defaultRowHeight="15.75" customHeight="1"/>
  <cols>
    <col min="1" max="1" width="9.375" customWidth="1"/>
    <col min="2" max="2" width="43.875" customWidth="1"/>
    <col min="3" max="3" width="12.625" customWidth="1"/>
    <col min="4" max="4" width="25.25" customWidth="1"/>
    <col min="6" max="6" width="19.5" customWidth="1"/>
    <col min="7" max="7" width="11.25" hidden="1"/>
    <col min="8" max="8" width="13.25" customWidth="1"/>
    <col min="9" max="12" width="16.375" customWidth="1"/>
    <col min="13" max="15" width="14.375" customWidth="1"/>
    <col min="16" max="16" width="13.125" customWidth="1"/>
    <col min="17" max="17" width="14.375" customWidth="1"/>
    <col min="18" max="19" width="15" customWidth="1"/>
    <col min="20" max="20" width="38.75" customWidth="1"/>
    <col min="21" max="21" width="13.75" customWidth="1"/>
    <col min="22" max="22" width="28.5" customWidth="1"/>
  </cols>
  <sheetData>
    <row r="1" spans="1:23">
      <c r="A1" s="46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/>
      <c r="O1" s="1"/>
      <c r="P1" s="46" t="s">
        <v>1</v>
      </c>
      <c r="Q1" s="48"/>
      <c r="R1" s="46" t="s">
        <v>57</v>
      </c>
      <c r="S1" s="48"/>
      <c r="T1" s="1" t="s">
        <v>3</v>
      </c>
      <c r="U1" s="46" t="s">
        <v>4</v>
      </c>
      <c r="V1" s="48"/>
    </row>
    <row r="2" spans="1:2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79</v>
      </c>
      <c r="S2" s="2" t="s">
        <v>23</v>
      </c>
      <c r="T2" s="2" t="s">
        <v>84</v>
      </c>
      <c r="U2" s="2" t="s">
        <v>25</v>
      </c>
      <c r="V2" s="2" t="s">
        <v>26</v>
      </c>
      <c r="W2" s="2" t="s">
        <v>27</v>
      </c>
    </row>
    <row r="3" spans="1:23">
      <c r="A3" s="5">
        <v>2024</v>
      </c>
      <c r="B3" s="6" t="s">
        <v>92</v>
      </c>
      <c r="C3" s="5" t="s">
        <v>29</v>
      </c>
      <c r="D3" s="5" t="s">
        <v>97</v>
      </c>
      <c r="E3" s="5" t="s">
        <v>98</v>
      </c>
      <c r="F3" s="5" t="s">
        <v>100</v>
      </c>
      <c r="G3" s="7" t="s">
        <v>101</v>
      </c>
      <c r="H3" s="5" t="s">
        <v>34</v>
      </c>
      <c r="I3" s="5">
        <v>5400020240014</v>
      </c>
      <c r="J3" s="6" t="s">
        <v>44</v>
      </c>
      <c r="K3" s="8">
        <v>45657</v>
      </c>
      <c r="L3" s="9">
        <v>46317</v>
      </c>
      <c r="M3" s="12">
        <v>300000</v>
      </c>
      <c r="N3" s="12">
        <v>300000</v>
      </c>
      <c r="O3" s="12">
        <v>300000</v>
      </c>
      <c r="P3" s="6" t="s">
        <v>36</v>
      </c>
      <c r="Q3" s="12">
        <v>300000</v>
      </c>
      <c r="R3" s="6" t="s">
        <v>36</v>
      </c>
      <c r="S3" s="6" t="s">
        <v>65</v>
      </c>
      <c r="T3" s="6" t="s">
        <v>126</v>
      </c>
      <c r="U3" s="7" t="s">
        <v>128</v>
      </c>
      <c r="V3" s="7" t="s">
        <v>129</v>
      </c>
      <c r="W3" s="9">
        <v>45833</v>
      </c>
    </row>
    <row r="4" spans="1:23">
      <c r="A4" s="5">
        <v>2025</v>
      </c>
      <c r="B4" s="6" t="s">
        <v>133</v>
      </c>
      <c r="C4" s="5" t="s">
        <v>135</v>
      </c>
      <c r="D4" s="5" t="s">
        <v>138</v>
      </c>
      <c r="E4" s="5" t="s">
        <v>141</v>
      </c>
      <c r="F4" s="5" t="s">
        <v>143</v>
      </c>
      <c r="G4" s="7" t="s">
        <v>144</v>
      </c>
      <c r="H4" s="5" t="s">
        <v>74</v>
      </c>
      <c r="I4" s="5">
        <v>5400020250016</v>
      </c>
      <c r="J4" s="6" t="s">
        <v>146</v>
      </c>
      <c r="K4" s="8">
        <v>46022</v>
      </c>
      <c r="L4" s="9">
        <v>46538</v>
      </c>
      <c r="M4" s="12">
        <v>5000000</v>
      </c>
      <c r="N4" s="12">
        <v>5000000</v>
      </c>
      <c r="O4" s="12">
        <v>5000000</v>
      </c>
      <c r="P4" s="6" t="s">
        <v>36</v>
      </c>
      <c r="Q4" s="12">
        <v>5000000</v>
      </c>
      <c r="R4" s="6" t="s">
        <v>36</v>
      </c>
      <c r="S4" s="6" t="s">
        <v>36</v>
      </c>
      <c r="T4" s="6"/>
      <c r="U4" s="7" t="s">
        <v>155</v>
      </c>
      <c r="V4" s="7" t="s">
        <v>157</v>
      </c>
      <c r="W4" s="9">
        <v>46163</v>
      </c>
    </row>
    <row r="5" spans="1:23">
      <c r="A5" s="5">
        <v>2025</v>
      </c>
      <c r="B5" s="6" t="s">
        <v>159</v>
      </c>
      <c r="C5" s="5" t="s">
        <v>160</v>
      </c>
      <c r="D5" s="5" t="s">
        <v>161</v>
      </c>
      <c r="E5" s="5" t="s">
        <v>162</v>
      </c>
      <c r="F5" s="5" t="s">
        <v>163</v>
      </c>
      <c r="G5" s="7" t="s">
        <v>164</v>
      </c>
      <c r="H5" s="5" t="s">
        <v>74</v>
      </c>
      <c r="I5" s="5">
        <v>5400020250016</v>
      </c>
      <c r="J5" s="6" t="s">
        <v>99</v>
      </c>
      <c r="K5" s="8">
        <v>46022</v>
      </c>
      <c r="L5" s="9">
        <v>46511</v>
      </c>
      <c r="M5" s="12">
        <v>330000</v>
      </c>
      <c r="N5" s="12">
        <v>330000</v>
      </c>
      <c r="O5" s="12">
        <v>330000</v>
      </c>
      <c r="P5" s="6" t="s">
        <v>36</v>
      </c>
      <c r="Q5" s="12">
        <v>330000</v>
      </c>
      <c r="R5" s="6" t="s">
        <v>36</v>
      </c>
      <c r="S5" s="6" t="s">
        <v>36</v>
      </c>
      <c r="T5" s="6"/>
      <c r="U5" s="7" t="s">
        <v>174</v>
      </c>
      <c r="V5" s="7" t="s">
        <v>175</v>
      </c>
      <c r="W5" s="9">
        <v>46163</v>
      </c>
    </row>
    <row r="6" spans="1:23">
      <c r="A6" s="5">
        <v>2025</v>
      </c>
      <c r="B6" s="6" t="s">
        <v>176</v>
      </c>
      <c r="C6" s="5" t="s">
        <v>114</v>
      </c>
      <c r="D6" s="5" t="s">
        <v>177</v>
      </c>
      <c r="E6" s="5" t="s">
        <v>178</v>
      </c>
      <c r="F6" s="5" t="s">
        <v>194</v>
      </c>
      <c r="G6" s="7" t="s">
        <v>196</v>
      </c>
      <c r="H6" s="5" t="s">
        <v>74</v>
      </c>
      <c r="I6" s="5">
        <v>5400020250016</v>
      </c>
      <c r="J6" s="6" t="s">
        <v>198</v>
      </c>
      <c r="K6" s="8">
        <v>46022</v>
      </c>
      <c r="L6" s="9">
        <v>46392</v>
      </c>
      <c r="M6" s="12">
        <v>4000000</v>
      </c>
      <c r="N6" s="12">
        <v>4000000</v>
      </c>
      <c r="O6" s="12">
        <v>4000000</v>
      </c>
      <c r="P6" s="6" t="s">
        <v>36</v>
      </c>
      <c r="Q6" s="12">
        <v>4000000</v>
      </c>
      <c r="R6" s="6" t="s">
        <v>36</v>
      </c>
      <c r="S6" s="6" t="s">
        <v>36</v>
      </c>
      <c r="T6" s="6"/>
      <c r="U6" s="7" t="s">
        <v>206</v>
      </c>
      <c r="V6" s="7" t="s">
        <v>208</v>
      </c>
      <c r="W6" s="9">
        <v>46163</v>
      </c>
    </row>
    <row r="7" spans="1:23">
      <c r="A7" s="5">
        <v>2025</v>
      </c>
      <c r="B7" s="6" t="s">
        <v>210</v>
      </c>
      <c r="C7" s="5" t="s">
        <v>160</v>
      </c>
      <c r="D7" s="5" t="s">
        <v>211</v>
      </c>
      <c r="E7" s="5" t="s">
        <v>212</v>
      </c>
      <c r="F7" s="5" t="s">
        <v>213</v>
      </c>
      <c r="G7" s="7" t="s">
        <v>214</v>
      </c>
      <c r="H7" s="5" t="s">
        <v>74</v>
      </c>
      <c r="I7" s="5">
        <v>5400020250016</v>
      </c>
      <c r="J7" s="6" t="s">
        <v>99</v>
      </c>
      <c r="K7" s="8">
        <v>46021</v>
      </c>
      <c r="L7" s="9">
        <v>46511</v>
      </c>
      <c r="M7" s="12">
        <v>500000</v>
      </c>
      <c r="N7" s="12">
        <v>500000</v>
      </c>
      <c r="O7" s="12">
        <v>500000</v>
      </c>
      <c r="P7" s="6" t="s">
        <v>36</v>
      </c>
      <c r="Q7" s="12">
        <v>500000</v>
      </c>
      <c r="R7" s="6" t="s">
        <v>36</v>
      </c>
      <c r="S7" s="6" t="s">
        <v>36</v>
      </c>
      <c r="T7" s="6"/>
      <c r="U7" s="7" t="s">
        <v>223</v>
      </c>
      <c r="V7" s="7" t="s">
        <v>224</v>
      </c>
      <c r="W7" s="9">
        <v>46163</v>
      </c>
    </row>
    <row r="8" spans="1:23">
      <c r="A8" s="5">
        <v>2025</v>
      </c>
      <c r="B8" s="6" t="s">
        <v>227</v>
      </c>
      <c r="C8" s="5" t="s">
        <v>228</v>
      </c>
      <c r="D8" s="5" t="s">
        <v>231</v>
      </c>
      <c r="E8" s="5" t="s">
        <v>233</v>
      </c>
      <c r="F8" s="5" t="s">
        <v>235</v>
      </c>
      <c r="G8" s="7" t="s">
        <v>236</v>
      </c>
      <c r="H8" s="5" t="s">
        <v>74</v>
      </c>
      <c r="I8" s="5">
        <v>5400020250016</v>
      </c>
      <c r="J8" s="6" t="s">
        <v>238</v>
      </c>
      <c r="K8" s="8">
        <v>46022</v>
      </c>
      <c r="L8" s="9">
        <v>46482</v>
      </c>
      <c r="M8" s="12">
        <v>450000</v>
      </c>
      <c r="N8" s="12">
        <v>450000</v>
      </c>
      <c r="O8" s="12">
        <v>450000</v>
      </c>
      <c r="P8" s="6" t="s">
        <v>65</v>
      </c>
      <c r="Q8" s="12"/>
      <c r="R8" s="6" t="s">
        <v>36</v>
      </c>
      <c r="S8" s="6" t="s">
        <v>36</v>
      </c>
      <c r="T8" s="6"/>
      <c r="U8" s="7" t="s">
        <v>245</v>
      </c>
      <c r="V8" s="5" t="s">
        <v>246</v>
      </c>
      <c r="W8" s="9"/>
    </row>
    <row r="9" spans="1:23">
      <c r="A9" s="5">
        <v>2025</v>
      </c>
      <c r="B9" s="6" t="s">
        <v>247</v>
      </c>
      <c r="C9" s="5" t="s">
        <v>114</v>
      </c>
      <c r="D9" s="5" t="s">
        <v>249</v>
      </c>
      <c r="E9" s="5" t="s">
        <v>251</v>
      </c>
      <c r="F9" s="5" t="s">
        <v>252</v>
      </c>
      <c r="G9" s="7" t="s">
        <v>109</v>
      </c>
      <c r="H9" s="5" t="s">
        <v>74</v>
      </c>
      <c r="I9" s="5">
        <v>5400020250016</v>
      </c>
      <c r="J9" s="6" t="s">
        <v>258</v>
      </c>
      <c r="K9" s="8">
        <v>46021</v>
      </c>
      <c r="L9" s="8">
        <v>46356</v>
      </c>
      <c r="M9" s="12">
        <v>450000</v>
      </c>
      <c r="N9" s="12">
        <v>450000</v>
      </c>
      <c r="O9" s="12">
        <v>450000</v>
      </c>
      <c r="P9" s="6" t="s">
        <v>36</v>
      </c>
      <c r="Q9" s="12">
        <v>450000</v>
      </c>
      <c r="R9" s="6" t="s">
        <v>36</v>
      </c>
      <c r="S9" s="6" t="s">
        <v>36</v>
      </c>
      <c r="T9" s="6"/>
      <c r="U9" s="7" t="s">
        <v>260</v>
      </c>
      <c r="V9" s="7" t="s">
        <v>262</v>
      </c>
      <c r="W9" s="9">
        <v>46163</v>
      </c>
    </row>
    <row r="10" spans="1:23">
      <c r="A10" s="5">
        <v>2025</v>
      </c>
      <c r="B10" s="6" t="s">
        <v>264</v>
      </c>
      <c r="C10" s="5" t="s">
        <v>114</v>
      </c>
      <c r="D10" s="5" t="s">
        <v>265</v>
      </c>
      <c r="E10" s="5" t="s">
        <v>267</v>
      </c>
      <c r="F10" s="5" t="s">
        <v>269</v>
      </c>
      <c r="G10" s="7" t="s">
        <v>272</v>
      </c>
      <c r="H10" s="5" t="s">
        <v>74</v>
      </c>
      <c r="I10" s="5">
        <v>5400020250016</v>
      </c>
      <c r="J10" s="6" t="s">
        <v>275</v>
      </c>
      <c r="K10" s="8">
        <v>46021</v>
      </c>
      <c r="L10" s="9">
        <v>46296</v>
      </c>
      <c r="M10" s="12">
        <v>400000</v>
      </c>
      <c r="N10" s="12">
        <v>400000</v>
      </c>
      <c r="O10" s="12">
        <v>400000</v>
      </c>
      <c r="P10" s="6" t="s">
        <v>36</v>
      </c>
      <c r="Q10" s="12">
        <v>400000</v>
      </c>
      <c r="R10" s="6" t="s">
        <v>36</v>
      </c>
      <c r="S10" s="6" t="s">
        <v>36</v>
      </c>
      <c r="T10" s="6"/>
      <c r="U10" s="7" t="s">
        <v>277</v>
      </c>
      <c r="V10" s="7" t="s">
        <v>279</v>
      </c>
      <c r="W10" s="9">
        <v>46163</v>
      </c>
    </row>
    <row r="11" spans="1:23">
      <c r="A11" s="14">
        <v>2026</v>
      </c>
      <c r="B11" s="15" t="s">
        <v>283</v>
      </c>
      <c r="C11" s="14" t="s">
        <v>114</v>
      </c>
      <c r="D11" s="14"/>
      <c r="E11" s="14" t="s">
        <v>285</v>
      </c>
      <c r="F11" s="14" t="s">
        <v>287</v>
      </c>
      <c r="G11" s="16" t="s">
        <v>290</v>
      </c>
      <c r="H11" s="14" t="s">
        <v>74</v>
      </c>
      <c r="I11" s="14">
        <v>5400020260023</v>
      </c>
      <c r="J11" s="15" t="s">
        <v>291</v>
      </c>
      <c r="K11" s="17">
        <v>46178</v>
      </c>
      <c r="L11" s="17">
        <v>46542</v>
      </c>
      <c r="M11" s="18">
        <v>2500000</v>
      </c>
      <c r="N11" s="18">
        <v>2500000</v>
      </c>
      <c r="O11" s="18"/>
      <c r="P11" s="15" t="s">
        <v>65</v>
      </c>
      <c r="Q11" s="18"/>
      <c r="R11" s="15" t="s">
        <v>65</v>
      </c>
      <c r="S11" s="15" t="s">
        <v>65</v>
      </c>
      <c r="T11" s="15" t="s">
        <v>302</v>
      </c>
      <c r="U11" s="7" t="s">
        <v>304</v>
      </c>
      <c r="V11" s="7" t="s">
        <v>306</v>
      </c>
      <c r="W11" s="9"/>
    </row>
    <row r="12" spans="1:23">
      <c r="A12" s="5">
        <v>2026</v>
      </c>
      <c r="B12" s="6" t="s">
        <v>308</v>
      </c>
      <c r="C12" s="5" t="s">
        <v>309</v>
      </c>
      <c r="D12" s="5" t="s">
        <v>310</v>
      </c>
      <c r="E12" s="5" t="s">
        <v>311</v>
      </c>
      <c r="F12" s="5" t="s">
        <v>312</v>
      </c>
      <c r="G12" s="7" t="s">
        <v>109</v>
      </c>
      <c r="H12" s="5" t="s">
        <v>74</v>
      </c>
      <c r="I12" s="5">
        <v>5400020260023</v>
      </c>
      <c r="J12" s="6" t="s">
        <v>313</v>
      </c>
      <c r="K12" s="9">
        <v>46222</v>
      </c>
      <c r="L12" s="9">
        <v>46586</v>
      </c>
      <c r="M12" s="12">
        <v>2500000</v>
      </c>
      <c r="N12" s="12">
        <v>2500000</v>
      </c>
      <c r="O12" s="12">
        <v>2500000</v>
      </c>
      <c r="P12" s="6" t="s">
        <v>65</v>
      </c>
      <c r="Q12" s="12"/>
      <c r="R12" s="6" t="s">
        <v>65</v>
      </c>
      <c r="S12" s="6" t="s">
        <v>65</v>
      </c>
      <c r="T12" s="6" t="s">
        <v>321</v>
      </c>
      <c r="U12" s="7" t="s">
        <v>324</v>
      </c>
      <c r="V12" s="7" t="s">
        <v>325</v>
      </c>
      <c r="W12" s="9"/>
    </row>
    <row r="13" spans="1:23">
      <c r="A13" s="5">
        <v>2026</v>
      </c>
      <c r="B13" s="6" t="s">
        <v>326</v>
      </c>
      <c r="C13" s="5" t="s">
        <v>114</v>
      </c>
      <c r="D13" s="5" t="s">
        <v>327</v>
      </c>
      <c r="E13" s="5" t="s">
        <v>328</v>
      </c>
      <c r="F13" s="5" t="s">
        <v>330</v>
      </c>
      <c r="G13" s="7" t="s">
        <v>333</v>
      </c>
      <c r="H13" s="5" t="s">
        <v>34</v>
      </c>
      <c r="I13" s="5">
        <v>5400020260009</v>
      </c>
      <c r="J13" s="6" t="s">
        <v>335</v>
      </c>
      <c r="K13" s="9">
        <v>46174</v>
      </c>
      <c r="L13" s="9">
        <v>46539</v>
      </c>
      <c r="M13" s="12">
        <v>250000</v>
      </c>
      <c r="N13" s="12">
        <v>250000</v>
      </c>
      <c r="O13" s="12">
        <v>250000</v>
      </c>
      <c r="P13" s="6" t="s">
        <v>65</v>
      </c>
      <c r="Q13" s="12"/>
      <c r="R13" s="6" t="s">
        <v>65</v>
      </c>
      <c r="S13" s="6" t="s">
        <v>65</v>
      </c>
      <c r="T13" s="6" t="s">
        <v>336</v>
      </c>
      <c r="U13" s="7" t="s">
        <v>338</v>
      </c>
      <c r="V13" s="7" t="s">
        <v>339</v>
      </c>
      <c r="W13" s="9"/>
    </row>
    <row r="14" spans="1:23">
      <c r="A14" s="5">
        <v>2026</v>
      </c>
      <c r="B14" s="6" t="s">
        <v>342</v>
      </c>
      <c r="C14" s="5" t="s">
        <v>114</v>
      </c>
      <c r="D14" s="5" t="s">
        <v>344</v>
      </c>
      <c r="E14" s="5" t="s">
        <v>345</v>
      </c>
      <c r="F14" s="5" t="s">
        <v>347</v>
      </c>
      <c r="G14" s="7" t="s">
        <v>109</v>
      </c>
      <c r="H14" s="5" t="s">
        <v>34</v>
      </c>
      <c r="I14" s="5">
        <v>5400020260009</v>
      </c>
      <c r="J14" s="6" t="s">
        <v>258</v>
      </c>
      <c r="K14" s="9">
        <v>46357</v>
      </c>
      <c r="L14" s="9">
        <v>46660</v>
      </c>
      <c r="M14" s="12">
        <v>500000</v>
      </c>
      <c r="N14" s="12">
        <v>500000</v>
      </c>
      <c r="O14" s="12"/>
      <c r="P14" s="6" t="s">
        <v>65</v>
      </c>
      <c r="Q14" s="12"/>
      <c r="R14" s="6" t="s">
        <v>65</v>
      </c>
      <c r="S14" s="6" t="s">
        <v>65</v>
      </c>
      <c r="T14" s="6" t="s">
        <v>349</v>
      </c>
      <c r="U14" s="7" t="s">
        <v>260</v>
      </c>
      <c r="V14" s="7" t="s">
        <v>262</v>
      </c>
      <c r="W14" s="9"/>
    </row>
    <row r="15" spans="1:23">
      <c r="I15" s="20"/>
    </row>
    <row r="16" spans="1:23">
      <c r="I16" s="20"/>
    </row>
    <row r="17" spans="9:9">
      <c r="I17" s="20"/>
    </row>
    <row r="18" spans="9:9">
      <c r="I18" s="20"/>
    </row>
    <row r="19" spans="9:9">
      <c r="I19" s="20"/>
    </row>
    <row r="20" spans="9:9">
      <c r="I20" s="20"/>
    </row>
    <row r="21" spans="9:9">
      <c r="I21" s="20"/>
    </row>
    <row r="22" spans="9:9">
      <c r="I22" s="20"/>
    </row>
    <row r="23" spans="9:9">
      <c r="I23" s="20"/>
    </row>
    <row r="24" spans="9:9">
      <c r="I24" s="20"/>
    </row>
    <row r="25" spans="9:9">
      <c r="I25" s="20"/>
    </row>
    <row r="26" spans="9:9">
      <c r="I26" s="20"/>
    </row>
    <row r="27" spans="9:9">
      <c r="I27" s="20"/>
    </row>
    <row r="28" spans="9:9">
      <c r="I28" s="20"/>
    </row>
    <row r="29" spans="9:9">
      <c r="I29" s="20"/>
    </row>
    <row r="30" spans="9:9">
      <c r="I30" s="20"/>
    </row>
    <row r="31" spans="9:9">
      <c r="I31" s="20"/>
    </row>
    <row r="32" spans="9:9">
      <c r="I32" s="20"/>
    </row>
    <row r="33" spans="9:9">
      <c r="I33" s="20"/>
    </row>
    <row r="34" spans="9:9">
      <c r="I34" s="20"/>
    </row>
    <row r="35" spans="9:9">
      <c r="I35" s="20"/>
    </row>
    <row r="36" spans="9:9">
      <c r="I36" s="20"/>
    </row>
    <row r="37" spans="9:9">
      <c r="I37" s="20"/>
    </row>
    <row r="38" spans="9:9">
      <c r="I38" s="20"/>
    </row>
    <row r="39" spans="9:9">
      <c r="I39" s="20"/>
    </row>
    <row r="40" spans="9:9">
      <c r="I40" s="20"/>
    </row>
    <row r="41" spans="9:9">
      <c r="I41" s="20"/>
    </row>
    <row r="42" spans="9:9">
      <c r="I42" s="20"/>
    </row>
    <row r="43" spans="9:9">
      <c r="I43" s="20"/>
    </row>
    <row r="44" spans="9:9">
      <c r="I44" s="20"/>
    </row>
    <row r="45" spans="9:9">
      <c r="I45" s="20"/>
    </row>
    <row r="46" spans="9:9">
      <c r="I46" s="20"/>
    </row>
    <row r="47" spans="9:9">
      <c r="I47" s="20"/>
    </row>
    <row r="48" spans="9:9">
      <c r="I48" s="20"/>
    </row>
    <row r="49" spans="9:9">
      <c r="I49" s="20"/>
    </row>
    <row r="50" spans="9:9">
      <c r="I50" s="20"/>
    </row>
    <row r="51" spans="9:9">
      <c r="I51" s="20"/>
    </row>
    <row r="52" spans="9:9">
      <c r="I52" s="20"/>
    </row>
    <row r="53" spans="9:9">
      <c r="I53" s="20"/>
    </row>
    <row r="54" spans="9:9">
      <c r="I54" s="20"/>
    </row>
    <row r="55" spans="9:9">
      <c r="I55" s="20"/>
    </row>
    <row r="56" spans="9:9">
      <c r="I56" s="20"/>
    </row>
    <row r="57" spans="9:9">
      <c r="I57" s="20"/>
    </row>
    <row r="58" spans="9:9">
      <c r="I58" s="20"/>
    </row>
    <row r="59" spans="9:9">
      <c r="I59" s="20"/>
    </row>
    <row r="60" spans="9:9">
      <c r="I60" s="20"/>
    </row>
    <row r="61" spans="9:9">
      <c r="I61" s="20"/>
    </row>
    <row r="62" spans="9:9">
      <c r="I62" s="20"/>
    </row>
    <row r="63" spans="9:9">
      <c r="I63" s="20"/>
    </row>
    <row r="64" spans="9:9">
      <c r="I64" s="20"/>
    </row>
    <row r="65" spans="9:9">
      <c r="I65" s="20"/>
    </row>
    <row r="66" spans="9:9">
      <c r="I66" s="20"/>
    </row>
    <row r="67" spans="9:9">
      <c r="I67" s="20"/>
    </row>
    <row r="68" spans="9:9">
      <c r="I68" s="20"/>
    </row>
    <row r="69" spans="9:9">
      <c r="I69" s="20"/>
    </row>
    <row r="70" spans="9:9">
      <c r="I70" s="20"/>
    </row>
    <row r="71" spans="9:9">
      <c r="I71" s="20"/>
    </row>
    <row r="72" spans="9:9">
      <c r="I72" s="20"/>
    </row>
    <row r="73" spans="9:9">
      <c r="I73" s="20"/>
    </row>
    <row r="74" spans="9:9">
      <c r="I74" s="20"/>
    </row>
    <row r="75" spans="9:9">
      <c r="I75" s="20"/>
    </row>
    <row r="76" spans="9:9">
      <c r="I76" s="20"/>
    </row>
    <row r="77" spans="9:9">
      <c r="I77" s="20"/>
    </row>
    <row r="78" spans="9:9">
      <c r="I78" s="20"/>
    </row>
    <row r="79" spans="9:9">
      <c r="I79" s="20"/>
    </row>
    <row r="80" spans="9:9">
      <c r="I80" s="20"/>
    </row>
    <row r="81" spans="9:9">
      <c r="I81" s="20"/>
    </row>
    <row r="82" spans="9:9">
      <c r="I82" s="20"/>
    </row>
    <row r="83" spans="9:9">
      <c r="I83" s="20"/>
    </row>
    <row r="84" spans="9:9">
      <c r="I84" s="20"/>
    </row>
    <row r="85" spans="9:9">
      <c r="I85" s="20"/>
    </row>
    <row r="86" spans="9:9">
      <c r="I86" s="20"/>
    </row>
    <row r="87" spans="9:9">
      <c r="I87" s="20"/>
    </row>
    <row r="88" spans="9:9">
      <c r="I88" s="20"/>
    </row>
    <row r="89" spans="9:9">
      <c r="I89" s="20"/>
    </row>
    <row r="90" spans="9:9">
      <c r="I90" s="20"/>
    </row>
    <row r="91" spans="9:9">
      <c r="I91" s="20"/>
    </row>
    <row r="92" spans="9:9">
      <c r="I92" s="20"/>
    </row>
    <row r="93" spans="9:9">
      <c r="I93" s="20"/>
    </row>
    <row r="94" spans="9:9">
      <c r="I94" s="20"/>
    </row>
    <row r="95" spans="9:9">
      <c r="I95" s="20"/>
    </row>
    <row r="96" spans="9:9">
      <c r="I96" s="20"/>
    </row>
    <row r="97" spans="9:9">
      <c r="I97" s="20"/>
    </row>
    <row r="98" spans="9:9">
      <c r="I98" s="20"/>
    </row>
    <row r="99" spans="9:9">
      <c r="I99" s="20"/>
    </row>
    <row r="100" spans="9:9">
      <c r="I100" s="20"/>
    </row>
    <row r="101" spans="9:9">
      <c r="I101" s="20"/>
    </row>
    <row r="102" spans="9:9">
      <c r="I102" s="20"/>
    </row>
    <row r="103" spans="9:9">
      <c r="I103" s="20"/>
    </row>
    <row r="104" spans="9:9">
      <c r="I104" s="20"/>
    </row>
    <row r="105" spans="9:9">
      <c r="I105" s="20"/>
    </row>
    <row r="106" spans="9:9">
      <c r="I106" s="20"/>
    </row>
    <row r="107" spans="9:9">
      <c r="I107" s="20"/>
    </row>
    <row r="108" spans="9:9">
      <c r="I108" s="20"/>
    </row>
    <row r="109" spans="9:9">
      <c r="I109" s="20"/>
    </row>
    <row r="110" spans="9:9">
      <c r="I110" s="20"/>
    </row>
    <row r="111" spans="9:9">
      <c r="I111" s="20"/>
    </row>
    <row r="112" spans="9:9">
      <c r="I112" s="20"/>
    </row>
    <row r="113" spans="9:9">
      <c r="I113" s="20"/>
    </row>
    <row r="114" spans="9:9">
      <c r="I114" s="20"/>
    </row>
    <row r="115" spans="9:9">
      <c r="I115" s="20"/>
    </row>
    <row r="116" spans="9:9">
      <c r="I116" s="20"/>
    </row>
    <row r="117" spans="9:9">
      <c r="I117" s="20"/>
    </row>
    <row r="118" spans="9:9">
      <c r="I118" s="20"/>
    </row>
    <row r="119" spans="9:9">
      <c r="I119" s="20"/>
    </row>
    <row r="120" spans="9:9">
      <c r="I120" s="20"/>
    </row>
    <row r="121" spans="9:9">
      <c r="I121" s="20"/>
    </row>
    <row r="122" spans="9:9">
      <c r="I122" s="20"/>
    </row>
    <row r="123" spans="9:9">
      <c r="I123" s="20"/>
    </row>
    <row r="124" spans="9:9">
      <c r="I124" s="20"/>
    </row>
    <row r="125" spans="9:9">
      <c r="I125" s="20"/>
    </row>
    <row r="126" spans="9:9">
      <c r="I126" s="20"/>
    </row>
    <row r="127" spans="9:9">
      <c r="I127" s="20"/>
    </row>
    <row r="128" spans="9:9">
      <c r="I128" s="20"/>
    </row>
    <row r="129" spans="9:9">
      <c r="I129" s="20"/>
    </row>
    <row r="130" spans="9:9">
      <c r="I130" s="20"/>
    </row>
    <row r="131" spans="9:9">
      <c r="I131" s="20"/>
    </row>
    <row r="132" spans="9:9">
      <c r="I132" s="20"/>
    </row>
    <row r="133" spans="9:9">
      <c r="I133" s="20"/>
    </row>
    <row r="134" spans="9:9">
      <c r="I134" s="20"/>
    </row>
    <row r="135" spans="9:9">
      <c r="I135" s="20"/>
    </row>
    <row r="136" spans="9:9">
      <c r="I136" s="20"/>
    </row>
    <row r="137" spans="9:9">
      <c r="I137" s="20"/>
    </row>
    <row r="138" spans="9:9">
      <c r="I138" s="20"/>
    </row>
    <row r="139" spans="9:9">
      <c r="I139" s="20"/>
    </row>
    <row r="140" spans="9:9">
      <c r="I140" s="20"/>
    </row>
    <row r="141" spans="9:9">
      <c r="I141" s="20"/>
    </row>
    <row r="142" spans="9:9">
      <c r="I142" s="20"/>
    </row>
    <row r="143" spans="9:9">
      <c r="I143" s="20"/>
    </row>
    <row r="144" spans="9:9">
      <c r="I144" s="20"/>
    </row>
    <row r="145" spans="9:9">
      <c r="I145" s="20"/>
    </row>
    <row r="146" spans="9:9">
      <c r="I146" s="20"/>
    </row>
    <row r="147" spans="9:9">
      <c r="I147" s="20"/>
    </row>
    <row r="148" spans="9:9">
      <c r="I148" s="20"/>
    </row>
    <row r="149" spans="9:9">
      <c r="I149" s="20"/>
    </row>
    <row r="150" spans="9:9">
      <c r="I150" s="20"/>
    </row>
    <row r="151" spans="9:9">
      <c r="I151" s="20"/>
    </row>
    <row r="152" spans="9:9">
      <c r="I152" s="20"/>
    </row>
    <row r="153" spans="9:9">
      <c r="I153" s="20"/>
    </row>
    <row r="154" spans="9:9">
      <c r="I154" s="20"/>
    </row>
    <row r="155" spans="9:9">
      <c r="I155" s="20"/>
    </row>
    <row r="156" spans="9:9">
      <c r="I156" s="20"/>
    </row>
    <row r="157" spans="9:9">
      <c r="I157" s="20"/>
    </row>
    <row r="158" spans="9:9">
      <c r="I158" s="20"/>
    </row>
    <row r="159" spans="9:9">
      <c r="I159" s="20"/>
    </row>
    <row r="160" spans="9:9">
      <c r="I160" s="20"/>
    </row>
    <row r="161" spans="9:9">
      <c r="I161" s="20"/>
    </row>
    <row r="162" spans="9:9">
      <c r="I162" s="20"/>
    </row>
    <row r="163" spans="9:9">
      <c r="I163" s="20"/>
    </row>
    <row r="164" spans="9:9">
      <c r="I164" s="20"/>
    </row>
    <row r="165" spans="9:9">
      <c r="I165" s="20"/>
    </row>
    <row r="166" spans="9:9">
      <c r="I166" s="20"/>
    </row>
    <row r="167" spans="9:9">
      <c r="I167" s="20"/>
    </row>
    <row r="168" spans="9:9">
      <c r="I168" s="20"/>
    </row>
    <row r="169" spans="9:9">
      <c r="I169" s="20"/>
    </row>
    <row r="170" spans="9:9">
      <c r="I170" s="20"/>
    </row>
    <row r="171" spans="9:9">
      <c r="I171" s="20"/>
    </row>
    <row r="172" spans="9:9">
      <c r="I172" s="20"/>
    </row>
    <row r="173" spans="9:9">
      <c r="I173" s="20"/>
    </row>
    <row r="174" spans="9:9">
      <c r="I174" s="20"/>
    </row>
    <row r="175" spans="9:9">
      <c r="I175" s="20"/>
    </row>
    <row r="176" spans="9:9">
      <c r="I176" s="20"/>
    </row>
    <row r="177" spans="9:9">
      <c r="I177" s="20"/>
    </row>
    <row r="178" spans="9:9">
      <c r="I178" s="20"/>
    </row>
    <row r="179" spans="9:9">
      <c r="I179" s="20"/>
    </row>
    <row r="180" spans="9:9">
      <c r="I180" s="20"/>
    </row>
    <row r="181" spans="9:9">
      <c r="I181" s="20"/>
    </row>
    <row r="182" spans="9:9">
      <c r="I182" s="20"/>
    </row>
    <row r="183" spans="9:9">
      <c r="I183" s="20"/>
    </row>
    <row r="184" spans="9:9">
      <c r="I184" s="20"/>
    </row>
    <row r="185" spans="9:9">
      <c r="I185" s="20"/>
    </row>
    <row r="186" spans="9:9">
      <c r="I186" s="20"/>
    </row>
    <row r="187" spans="9:9">
      <c r="I187" s="20"/>
    </row>
    <row r="188" spans="9:9">
      <c r="I188" s="20"/>
    </row>
    <row r="189" spans="9:9">
      <c r="I189" s="20"/>
    </row>
    <row r="190" spans="9:9">
      <c r="I190" s="20"/>
    </row>
    <row r="191" spans="9:9">
      <c r="I191" s="20"/>
    </row>
    <row r="192" spans="9:9">
      <c r="I192" s="20"/>
    </row>
    <row r="193" spans="9:9">
      <c r="I193" s="20"/>
    </row>
    <row r="194" spans="9:9">
      <c r="I194" s="20"/>
    </row>
    <row r="195" spans="9:9">
      <c r="I195" s="20"/>
    </row>
    <row r="196" spans="9:9">
      <c r="I196" s="20"/>
    </row>
    <row r="197" spans="9:9">
      <c r="I197" s="20"/>
    </row>
    <row r="198" spans="9:9">
      <c r="I198" s="20"/>
    </row>
    <row r="199" spans="9:9">
      <c r="I199" s="20"/>
    </row>
    <row r="200" spans="9:9">
      <c r="I200" s="20"/>
    </row>
    <row r="201" spans="9:9">
      <c r="I201" s="20"/>
    </row>
    <row r="202" spans="9:9">
      <c r="I202" s="20"/>
    </row>
    <row r="203" spans="9:9">
      <c r="I203" s="20"/>
    </row>
    <row r="204" spans="9:9">
      <c r="I204" s="20"/>
    </row>
    <row r="205" spans="9:9">
      <c r="I205" s="20"/>
    </row>
    <row r="206" spans="9:9">
      <c r="I206" s="20"/>
    </row>
    <row r="207" spans="9:9">
      <c r="I207" s="20"/>
    </row>
    <row r="208" spans="9:9">
      <c r="I208" s="20"/>
    </row>
    <row r="209" spans="9:9">
      <c r="I209" s="20"/>
    </row>
    <row r="210" spans="9:9">
      <c r="I210" s="20"/>
    </row>
    <row r="211" spans="9:9">
      <c r="I211" s="20"/>
    </row>
    <row r="212" spans="9:9">
      <c r="I212" s="20"/>
    </row>
    <row r="213" spans="9:9">
      <c r="I213" s="20"/>
    </row>
    <row r="214" spans="9:9">
      <c r="I214" s="20"/>
    </row>
    <row r="215" spans="9:9">
      <c r="I215" s="20"/>
    </row>
    <row r="216" spans="9:9">
      <c r="I216" s="20"/>
    </row>
    <row r="217" spans="9:9">
      <c r="I217" s="20"/>
    </row>
    <row r="218" spans="9:9">
      <c r="I218" s="20"/>
    </row>
    <row r="219" spans="9:9">
      <c r="I219" s="20"/>
    </row>
    <row r="220" spans="9:9">
      <c r="I220" s="20"/>
    </row>
    <row r="221" spans="9:9">
      <c r="I221" s="20"/>
    </row>
    <row r="222" spans="9:9">
      <c r="I222" s="20"/>
    </row>
    <row r="223" spans="9:9">
      <c r="I223" s="20"/>
    </row>
    <row r="224" spans="9:9">
      <c r="I224" s="20"/>
    </row>
    <row r="225" spans="9:9">
      <c r="I225" s="20"/>
    </row>
    <row r="226" spans="9:9">
      <c r="I226" s="20"/>
    </row>
    <row r="227" spans="9:9">
      <c r="I227" s="20"/>
    </row>
    <row r="228" spans="9:9">
      <c r="I228" s="20"/>
    </row>
    <row r="229" spans="9:9">
      <c r="I229" s="20"/>
    </row>
    <row r="230" spans="9:9">
      <c r="I230" s="20"/>
    </row>
    <row r="231" spans="9:9">
      <c r="I231" s="20"/>
    </row>
    <row r="232" spans="9:9">
      <c r="I232" s="20"/>
    </row>
    <row r="233" spans="9:9">
      <c r="I233" s="20"/>
    </row>
    <row r="234" spans="9:9">
      <c r="I234" s="20"/>
    </row>
    <row r="235" spans="9:9">
      <c r="I235" s="20"/>
    </row>
    <row r="236" spans="9:9">
      <c r="I236" s="20"/>
    </row>
    <row r="237" spans="9:9">
      <c r="I237" s="20"/>
    </row>
    <row r="238" spans="9:9">
      <c r="I238" s="20"/>
    </row>
    <row r="239" spans="9:9">
      <c r="I239" s="20"/>
    </row>
    <row r="240" spans="9:9">
      <c r="I240" s="20"/>
    </row>
    <row r="241" spans="9:9">
      <c r="I241" s="20"/>
    </row>
    <row r="242" spans="9:9">
      <c r="I242" s="20"/>
    </row>
    <row r="243" spans="9:9">
      <c r="I243" s="20"/>
    </row>
    <row r="244" spans="9:9">
      <c r="I244" s="20"/>
    </row>
    <row r="245" spans="9:9">
      <c r="I245" s="20"/>
    </row>
    <row r="246" spans="9:9">
      <c r="I246" s="20"/>
    </row>
    <row r="247" spans="9:9">
      <c r="I247" s="20"/>
    </row>
    <row r="248" spans="9:9">
      <c r="I248" s="20"/>
    </row>
    <row r="249" spans="9:9">
      <c r="I249" s="20"/>
    </row>
    <row r="250" spans="9:9">
      <c r="I250" s="20"/>
    </row>
    <row r="251" spans="9:9">
      <c r="I251" s="20"/>
    </row>
    <row r="252" spans="9:9">
      <c r="I252" s="20"/>
    </row>
    <row r="253" spans="9:9">
      <c r="I253" s="20"/>
    </row>
    <row r="254" spans="9:9">
      <c r="I254" s="20"/>
    </row>
    <row r="255" spans="9:9">
      <c r="I255" s="20"/>
    </row>
    <row r="256" spans="9:9">
      <c r="I256" s="20"/>
    </row>
    <row r="257" spans="9:9">
      <c r="I257" s="20"/>
    </row>
    <row r="258" spans="9:9">
      <c r="I258" s="20"/>
    </row>
    <row r="259" spans="9:9">
      <c r="I259" s="20"/>
    </row>
    <row r="260" spans="9:9">
      <c r="I260" s="20"/>
    </row>
    <row r="261" spans="9:9">
      <c r="I261" s="20"/>
    </row>
    <row r="262" spans="9:9">
      <c r="I262" s="20"/>
    </row>
    <row r="263" spans="9:9">
      <c r="I263" s="20"/>
    </row>
    <row r="264" spans="9:9">
      <c r="I264" s="20"/>
    </row>
    <row r="265" spans="9:9">
      <c r="I265" s="20"/>
    </row>
    <row r="266" spans="9:9">
      <c r="I266" s="20"/>
    </row>
    <row r="267" spans="9:9">
      <c r="I267" s="20"/>
    </row>
    <row r="268" spans="9:9">
      <c r="I268" s="20"/>
    </row>
    <row r="269" spans="9:9">
      <c r="I269" s="20"/>
    </row>
    <row r="270" spans="9:9">
      <c r="I270" s="20"/>
    </row>
    <row r="271" spans="9:9">
      <c r="I271" s="20"/>
    </row>
    <row r="272" spans="9:9">
      <c r="I272" s="20"/>
    </row>
    <row r="273" spans="9:9">
      <c r="I273" s="20"/>
    </row>
    <row r="274" spans="9:9">
      <c r="I274" s="20"/>
    </row>
    <row r="275" spans="9:9">
      <c r="I275" s="20"/>
    </row>
    <row r="276" spans="9:9">
      <c r="I276" s="20"/>
    </row>
    <row r="277" spans="9:9">
      <c r="I277" s="20"/>
    </row>
    <row r="278" spans="9:9">
      <c r="I278" s="20"/>
    </row>
    <row r="279" spans="9:9">
      <c r="I279" s="20"/>
    </row>
    <row r="280" spans="9:9">
      <c r="I280" s="20"/>
    </row>
    <row r="281" spans="9:9">
      <c r="I281" s="20"/>
    </row>
    <row r="282" spans="9:9">
      <c r="I282" s="20"/>
    </row>
    <row r="283" spans="9:9">
      <c r="I283" s="20"/>
    </row>
    <row r="284" spans="9:9">
      <c r="I284" s="20"/>
    </row>
    <row r="285" spans="9:9">
      <c r="I285" s="20"/>
    </row>
    <row r="286" spans="9:9">
      <c r="I286" s="20"/>
    </row>
    <row r="287" spans="9:9">
      <c r="I287" s="20"/>
    </row>
    <row r="288" spans="9:9">
      <c r="I288" s="20"/>
    </row>
    <row r="289" spans="9:9">
      <c r="I289" s="20"/>
    </row>
    <row r="290" spans="9:9">
      <c r="I290" s="20"/>
    </row>
    <row r="291" spans="9:9">
      <c r="I291" s="20"/>
    </row>
    <row r="292" spans="9:9">
      <c r="I292" s="20"/>
    </row>
    <row r="293" spans="9:9">
      <c r="I293" s="20"/>
    </row>
    <row r="294" spans="9:9">
      <c r="I294" s="20"/>
    </row>
    <row r="295" spans="9:9">
      <c r="I295" s="20"/>
    </row>
    <row r="296" spans="9:9">
      <c r="I296" s="20"/>
    </row>
    <row r="297" spans="9:9">
      <c r="I297" s="20"/>
    </row>
    <row r="298" spans="9:9">
      <c r="I298" s="20"/>
    </row>
    <row r="299" spans="9:9">
      <c r="I299" s="20"/>
    </row>
    <row r="300" spans="9:9">
      <c r="I300" s="20"/>
    </row>
    <row r="301" spans="9:9">
      <c r="I301" s="20"/>
    </row>
    <row r="302" spans="9:9">
      <c r="I302" s="20"/>
    </row>
    <row r="303" spans="9:9">
      <c r="I303" s="20"/>
    </row>
    <row r="304" spans="9:9">
      <c r="I304" s="20"/>
    </row>
    <row r="305" spans="9:9">
      <c r="I305" s="20"/>
    </row>
    <row r="306" spans="9:9">
      <c r="I306" s="20"/>
    </row>
    <row r="307" spans="9:9">
      <c r="I307" s="20"/>
    </row>
    <row r="308" spans="9:9">
      <c r="I308" s="20"/>
    </row>
    <row r="309" spans="9:9">
      <c r="I309" s="20"/>
    </row>
    <row r="310" spans="9:9">
      <c r="I310" s="20"/>
    </row>
    <row r="311" spans="9:9">
      <c r="I311" s="20"/>
    </row>
    <row r="312" spans="9:9">
      <c r="I312" s="20"/>
    </row>
    <row r="313" spans="9:9">
      <c r="I313" s="20"/>
    </row>
    <row r="314" spans="9:9">
      <c r="I314" s="20"/>
    </row>
    <row r="315" spans="9:9">
      <c r="I315" s="20"/>
    </row>
    <row r="316" spans="9:9">
      <c r="I316" s="20"/>
    </row>
    <row r="317" spans="9:9">
      <c r="I317" s="20"/>
    </row>
    <row r="318" spans="9:9">
      <c r="I318" s="20"/>
    </row>
    <row r="319" spans="9:9">
      <c r="I319" s="20"/>
    </row>
    <row r="320" spans="9:9">
      <c r="I320" s="20"/>
    </row>
    <row r="321" spans="9:9">
      <c r="I321" s="20"/>
    </row>
    <row r="322" spans="9:9">
      <c r="I322" s="20"/>
    </row>
    <row r="323" spans="9:9">
      <c r="I323" s="20"/>
    </row>
    <row r="324" spans="9:9">
      <c r="I324" s="20"/>
    </row>
    <row r="325" spans="9:9">
      <c r="I325" s="20"/>
    </row>
    <row r="326" spans="9:9">
      <c r="I326" s="20"/>
    </row>
    <row r="327" spans="9:9">
      <c r="I327" s="20"/>
    </row>
    <row r="328" spans="9:9">
      <c r="I328" s="20"/>
    </row>
    <row r="329" spans="9:9">
      <c r="I329" s="20"/>
    </row>
    <row r="330" spans="9:9">
      <c r="I330" s="20"/>
    </row>
    <row r="331" spans="9:9">
      <c r="I331" s="20"/>
    </row>
    <row r="332" spans="9:9">
      <c r="I332" s="20"/>
    </row>
    <row r="333" spans="9:9">
      <c r="I333" s="20"/>
    </row>
    <row r="334" spans="9:9">
      <c r="I334" s="20"/>
    </row>
    <row r="335" spans="9:9">
      <c r="I335" s="20"/>
    </row>
    <row r="336" spans="9:9">
      <c r="I336" s="20"/>
    </row>
    <row r="337" spans="9:9">
      <c r="I337" s="20"/>
    </row>
    <row r="338" spans="9:9">
      <c r="I338" s="20"/>
    </row>
    <row r="339" spans="9:9">
      <c r="I339" s="20"/>
    </row>
    <row r="340" spans="9:9">
      <c r="I340" s="20"/>
    </row>
    <row r="341" spans="9:9">
      <c r="I341" s="20"/>
    </row>
    <row r="342" spans="9:9">
      <c r="I342" s="20"/>
    </row>
    <row r="343" spans="9:9">
      <c r="I343" s="20"/>
    </row>
    <row r="344" spans="9:9">
      <c r="I344" s="20"/>
    </row>
    <row r="345" spans="9:9">
      <c r="I345" s="20"/>
    </row>
    <row r="346" spans="9:9">
      <c r="I346" s="20"/>
    </row>
    <row r="347" spans="9:9">
      <c r="I347" s="20"/>
    </row>
    <row r="348" spans="9:9">
      <c r="I348" s="20"/>
    </row>
    <row r="349" spans="9:9">
      <c r="I349" s="20"/>
    </row>
    <row r="350" spans="9:9">
      <c r="I350" s="20"/>
    </row>
    <row r="351" spans="9:9">
      <c r="I351" s="20"/>
    </row>
    <row r="352" spans="9:9">
      <c r="I352" s="20"/>
    </row>
    <row r="353" spans="9:9">
      <c r="I353" s="20"/>
    </row>
    <row r="354" spans="9:9">
      <c r="I354" s="20"/>
    </row>
    <row r="355" spans="9:9">
      <c r="I355" s="20"/>
    </row>
    <row r="356" spans="9:9">
      <c r="I356" s="20"/>
    </row>
    <row r="357" spans="9:9">
      <c r="I357" s="20"/>
    </row>
    <row r="358" spans="9:9">
      <c r="I358" s="20"/>
    </row>
    <row r="359" spans="9:9">
      <c r="I359" s="20"/>
    </row>
    <row r="360" spans="9:9">
      <c r="I360" s="20"/>
    </row>
    <row r="361" spans="9:9">
      <c r="I361" s="20"/>
    </row>
    <row r="362" spans="9:9">
      <c r="I362" s="20"/>
    </row>
    <row r="363" spans="9:9">
      <c r="I363" s="20"/>
    </row>
    <row r="364" spans="9:9">
      <c r="I364" s="20"/>
    </row>
    <row r="365" spans="9:9">
      <c r="I365" s="20"/>
    </row>
    <row r="366" spans="9:9">
      <c r="I366" s="20"/>
    </row>
    <row r="367" spans="9:9">
      <c r="I367" s="20"/>
    </row>
    <row r="368" spans="9:9">
      <c r="I368" s="20"/>
    </row>
    <row r="369" spans="9:9">
      <c r="I369" s="20"/>
    </row>
    <row r="370" spans="9:9">
      <c r="I370" s="20"/>
    </row>
    <row r="371" spans="9:9">
      <c r="I371" s="20"/>
    </row>
    <row r="372" spans="9:9">
      <c r="I372" s="20"/>
    </row>
    <row r="373" spans="9:9">
      <c r="I373" s="20"/>
    </row>
    <row r="374" spans="9:9">
      <c r="I374" s="20"/>
    </row>
    <row r="375" spans="9:9">
      <c r="I375" s="20"/>
    </row>
    <row r="376" spans="9:9">
      <c r="I376" s="20"/>
    </row>
    <row r="377" spans="9:9">
      <c r="I377" s="20"/>
    </row>
    <row r="378" spans="9:9">
      <c r="I378" s="20"/>
    </row>
    <row r="379" spans="9:9">
      <c r="I379" s="20"/>
    </row>
    <row r="380" spans="9:9">
      <c r="I380" s="20"/>
    </row>
    <row r="381" spans="9:9">
      <c r="I381" s="20"/>
    </row>
    <row r="382" spans="9:9">
      <c r="I382" s="20"/>
    </row>
    <row r="383" spans="9:9">
      <c r="I383" s="20"/>
    </row>
    <row r="384" spans="9:9">
      <c r="I384" s="20"/>
    </row>
    <row r="385" spans="9:9">
      <c r="I385" s="20"/>
    </row>
    <row r="386" spans="9:9">
      <c r="I386" s="20"/>
    </row>
    <row r="387" spans="9:9">
      <c r="I387" s="20"/>
    </row>
    <row r="388" spans="9:9">
      <c r="I388" s="20"/>
    </row>
    <row r="389" spans="9:9">
      <c r="I389" s="20"/>
    </row>
    <row r="390" spans="9:9">
      <c r="I390" s="20"/>
    </row>
    <row r="391" spans="9:9">
      <c r="I391" s="20"/>
    </row>
    <row r="392" spans="9:9">
      <c r="I392" s="20"/>
    </row>
    <row r="393" spans="9:9">
      <c r="I393" s="20"/>
    </row>
    <row r="394" spans="9:9">
      <c r="I394" s="20"/>
    </row>
    <row r="395" spans="9:9">
      <c r="I395" s="20"/>
    </row>
    <row r="396" spans="9:9">
      <c r="I396" s="20"/>
    </row>
    <row r="397" spans="9:9">
      <c r="I397" s="20"/>
    </row>
    <row r="398" spans="9:9">
      <c r="I398" s="20"/>
    </row>
    <row r="399" spans="9:9">
      <c r="I399" s="20"/>
    </row>
    <row r="400" spans="9:9">
      <c r="I400" s="20"/>
    </row>
    <row r="401" spans="9:9">
      <c r="I401" s="20"/>
    </row>
    <row r="402" spans="9:9">
      <c r="I402" s="20"/>
    </row>
    <row r="403" spans="9:9">
      <c r="I403" s="20"/>
    </row>
    <row r="404" spans="9:9">
      <c r="I404" s="20"/>
    </row>
    <row r="405" spans="9:9">
      <c r="I405" s="20"/>
    </row>
    <row r="406" spans="9:9">
      <c r="I406" s="20"/>
    </row>
    <row r="407" spans="9:9">
      <c r="I407" s="20"/>
    </row>
    <row r="408" spans="9:9">
      <c r="I408" s="20"/>
    </row>
    <row r="409" spans="9:9">
      <c r="I409" s="20"/>
    </row>
    <row r="410" spans="9:9">
      <c r="I410" s="20"/>
    </row>
    <row r="411" spans="9:9">
      <c r="I411" s="20"/>
    </row>
    <row r="412" spans="9:9">
      <c r="I412" s="20"/>
    </row>
    <row r="413" spans="9:9">
      <c r="I413" s="20"/>
    </row>
    <row r="414" spans="9:9">
      <c r="I414" s="20"/>
    </row>
    <row r="415" spans="9:9">
      <c r="I415" s="20"/>
    </row>
    <row r="416" spans="9:9">
      <c r="I416" s="20"/>
    </row>
    <row r="417" spans="9:9">
      <c r="I417" s="20"/>
    </row>
    <row r="418" spans="9:9">
      <c r="I418" s="20"/>
    </row>
    <row r="419" spans="9:9">
      <c r="I419" s="20"/>
    </row>
    <row r="420" spans="9:9">
      <c r="I420" s="20"/>
    </row>
    <row r="421" spans="9:9">
      <c r="I421" s="20"/>
    </row>
    <row r="422" spans="9:9">
      <c r="I422" s="20"/>
    </row>
    <row r="423" spans="9:9">
      <c r="I423" s="20"/>
    </row>
    <row r="424" spans="9:9">
      <c r="I424" s="20"/>
    </row>
    <row r="425" spans="9:9">
      <c r="I425" s="20"/>
    </row>
    <row r="426" spans="9:9">
      <c r="I426" s="20"/>
    </row>
    <row r="427" spans="9:9">
      <c r="I427" s="20"/>
    </row>
    <row r="428" spans="9:9">
      <c r="I428" s="20"/>
    </row>
    <row r="429" spans="9:9">
      <c r="I429" s="20"/>
    </row>
    <row r="430" spans="9:9">
      <c r="I430" s="20"/>
    </row>
    <row r="431" spans="9:9">
      <c r="I431" s="20"/>
    </row>
    <row r="432" spans="9:9">
      <c r="I432" s="20"/>
    </row>
    <row r="433" spans="9:9">
      <c r="I433" s="20"/>
    </row>
    <row r="434" spans="9:9">
      <c r="I434" s="20"/>
    </row>
    <row r="435" spans="9:9">
      <c r="I435" s="20"/>
    </row>
    <row r="436" spans="9:9">
      <c r="I436" s="20"/>
    </row>
    <row r="437" spans="9:9">
      <c r="I437" s="20"/>
    </row>
    <row r="438" spans="9:9">
      <c r="I438" s="20"/>
    </row>
    <row r="439" spans="9:9">
      <c r="I439" s="20"/>
    </row>
    <row r="440" spans="9:9">
      <c r="I440" s="20"/>
    </row>
    <row r="441" spans="9:9">
      <c r="I441" s="20"/>
    </row>
    <row r="442" spans="9:9">
      <c r="I442" s="20"/>
    </row>
    <row r="443" spans="9:9">
      <c r="I443" s="20"/>
    </row>
    <row r="444" spans="9:9">
      <c r="I444" s="20"/>
    </row>
    <row r="445" spans="9:9">
      <c r="I445" s="20"/>
    </row>
    <row r="446" spans="9:9">
      <c r="I446" s="20"/>
    </row>
    <row r="447" spans="9:9">
      <c r="I447" s="20"/>
    </row>
    <row r="448" spans="9:9">
      <c r="I448" s="20"/>
    </row>
    <row r="449" spans="9:9">
      <c r="I449" s="20"/>
    </row>
    <row r="450" spans="9:9">
      <c r="I450" s="20"/>
    </row>
    <row r="451" spans="9:9">
      <c r="I451" s="20"/>
    </row>
    <row r="452" spans="9:9">
      <c r="I452" s="20"/>
    </row>
    <row r="453" spans="9:9">
      <c r="I453" s="20"/>
    </row>
    <row r="454" spans="9:9">
      <c r="I454" s="20"/>
    </row>
    <row r="455" spans="9:9">
      <c r="I455" s="20"/>
    </row>
    <row r="456" spans="9:9">
      <c r="I456" s="20"/>
    </row>
    <row r="457" spans="9:9">
      <c r="I457" s="20"/>
    </row>
    <row r="458" spans="9:9">
      <c r="I458" s="20"/>
    </row>
    <row r="459" spans="9:9">
      <c r="I459" s="20"/>
    </row>
    <row r="460" spans="9:9">
      <c r="I460" s="20"/>
    </row>
    <row r="461" spans="9:9">
      <c r="I461" s="20"/>
    </row>
    <row r="462" spans="9:9">
      <c r="I462" s="20"/>
    </row>
    <row r="463" spans="9:9">
      <c r="I463" s="20"/>
    </row>
    <row r="464" spans="9:9">
      <c r="I464" s="20"/>
    </row>
    <row r="465" spans="9:9">
      <c r="I465" s="20"/>
    </row>
    <row r="466" spans="9:9">
      <c r="I466" s="20"/>
    </row>
    <row r="467" spans="9:9">
      <c r="I467" s="20"/>
    </row>
    <row r="468" spans="9:9">
      <c r="I468" s="20"/>
    </row>
    <row r="469" spans="9:9">
      <c r="I469" s="20"/>
    </row>
    <row r="470" spans="9:9">
      <c r="I470" s="20"/>
    </row>
    <row r="471" spans="9:9">
      <c r="I471" s="20"/>
    </row>
    <row r="472" spans="9:9">
      <c r="I472" s="20"/>
    </row>
    <row r="473" spans="9:9">
      <c r="I473" s="20"/>
    </row>
    <row r="474" spans="9:9">
      <c r="I474" s="20"/>
    </row>
    <row r="475" spans="9:9">
      <c r="I475" s="20"/>
    </row>
    <row r="476" spans="9:9">
      <c r="I476" s="20"/>
    </row>
    <row r="477" spans="9:9">
      <c r="I477" s="20"/>
    </row>
    <row r="478" spans="9:9">
      <c r="I478" s="20"/>
    </row>
    <row r="479" spans="9:9">
      <c r="I479" s="20"/>
    </row>
    <row r="480" spans="9:9">
      <c r="I480" s="20"/>
    </row>
    <row r="481" spans="9:9">
      <c r="I481" s="20"/>
    </row>
    <row r="482" spans="9:9">
      <c r="I482" s="20"/>
    </row>
    <row r="483" spans="9:9">
      <c r="I483" s="20"/>
    </row>
    <row r="484" spans="9:9">
      <c r="I484" s="20"/>
    </row>
    <row r="485" spans="9:9">
      <c r="I485" s="20"/>
    </row>
    <row r="486" spans="9:9">
      <c r="I486" s="20"/>
    </row>
    <row r="487" spans="9:9">
      <c r="I487" s="20"/>
    </row>
    <row r="488" spans="9:9">
      <c r="I488" s="20"/>
    </row>
    <row r="489" spans="9:9">
      <c r="I489" s="20"/>
    </row>
    <row r="490" spans="9:9">
      <c r="I490" s="20"/>
    </row>
    <row r="491" spans="9:9">
      <c r="I491" s="20"/>
    </row>
    <row r="492" spans="9:9">
      <c r="I492" s="20"/>
    </row>
    <row r="493" spans="9:9">
      <c r="I493" s="20"/>
    </row>
    <row r="494" spans="9:9">
      <c r="I494" s="20"/>
    </row>
    <row r="495" spans="9:9">
      <c r="I495" s="20"/>
    </row>
    <row r="496" spans="9:9">
      <c r="I496" s="20"/>
    </row>
    <row r="497" spans="9:9">
      <c r="I497" s="20"/>
    </row>
    <row r="498" spans="9:9">
      <c r="I498" s="20"/>
    </row>
    <row r="499" spans="9:9">
      <c r="I499" s="20"/>
    </row>
    <row r="500" spans="9:9">
      <c r="I500" s="20"/>
    </row>
    <row r="501" spans="9:9">
      <c r="I501" s="20"/>
    </row>
    <row r="502" spans="9:9">
      <c r="I502" s="20"/>
    </row>
    <row r="503" spans="9:9">
      <c r="I503" s="20"/>
    </row>
    <row r="504" spans="9:9">
      <c r="I504" s="20"/>
    </row>
    <row r="505" spans="9:9">
      <c r="I505" s="20"/>
    </row>
    <row r="506" spans="9:9">
      <c r="I506" s="20"/>
    </row>
    <row r="507" spans="9:9">
      <c r="I507" s="20"/>
    </row>
    <row r="508" spans="9:9">
      <c r="I508" s="20"/>
    </row>
    <row r="509" spans="9:9">
      <c r="I509" s="20"/>
    </row>
    <row r="510" spans="9:9">
      <c r="I510" s="20"/>
    </row>
    <row r="511" spans="9:9">
      <c r="I511" s="20"/>
    </row>
    <row r="512" spans="9:9">
      <c r="I512" s="20"/>
    </row>
    <row r="513" spans="9:9">
      <c r="I513" s="20"/>
    </row>
    <row r="514" spans="9:9">
      <c r="I514" s="20"/>
    </row>
    <row r="515" spans="9:9">
      <c r="I515" s="20"/>
    </row>
    <row r="516" spans="9:9">
      <c r="I516" s="20"/>
    </row>
    <row r="517" spans="9:9">
      <c r="I517" s="20"/>
    </row>
    <row r="518" spans="9:9">
      <c r="I518" s="20"/>
    </row>
    <row r="519" spans="9:9">
      <c r="I519" s="20"/>
    </row>
    <row r="520" spans="9:9">
      <c r="I520" s="20"/>
    </row>
    <row r="521" spans="9:9">
      <c r="I521" s="20"/>
    </row>
    <row r="522" spans="9:9">
      <c r="I522" s="20"/>
    </row>
    <row r="523" spans="9:9">
      <c r="I523" s="20"/>
    </row>
    <row r="524" spans="9:9">
      <c r="I524" s="20"/>
    </row>
    <row r="525" spans="9:9">
      <c r="I525" s="20"/>
    </row>
    <row r="526" spans="9:9">
      <c r="I526" s="20"/>
    </row>
    <row r="527" spans="9:9">
      <c r="I527" s="20"/>
    </row>
    <row r="528" spans="9:9">
      <c r="I528" s="20"/>
    </row>
    <row r="529" spans="9:9">
      <c r="I529" s="20"/>
    </row>
    <row r="530" spans="9:9">
      <c r="I530" s="20"/>
    </row>
    <row r="531" spans="9:9">
      <c r="I531" s="20"/>
    </row>
    <row r="532" spans="9:9">
      <c r="I532" s="20"/>
    </row>
    <row r="533" spans="9:9">
      <c r="I533" s="20"/>
    </row>
    <row r="534" spans="9:9">
      <c r="I534" s="20"/>
    </row>
    <row r="535" spans="9:9">
      <c r="I535" s="20"/>
    </row>
    <row r="536" spans="9:9">
      <c r="I536" s="20"/>
    </row>
    <row r="537" spans="9:9">
      <c r="I537" s="20"/>
    </row>
    <row r="538" spans="9:9">
      <c r="I538" s="20"/>
    </row>
    <row r="539" spans="9:9">
      <c r="I539" s="20"/>
    </row>
    <row r="540" spans="9:9">
      <c r="I540" s="20"/>
    </row>
    <row r="541" spans="9:9">
      <c r="I541" s="20"/>
    </row>
    <row r="542" spans="9:9">
      <c r="I542" s="20"/>
    </row>
    <row r="543" spans="9:9">
      <c r="I543" s="20"/>
    </row>
    <row r="544" spans="9:9">
      <c r="I544" s="20"/>
    </row>
    <row r="545" spans="9:9">
      <c r="I545" s="20"/>
    </row>
    <row r="546" spans="9:9">
      <c r="I546" s="20"/>
    </row>
    <row r="547" spans="9:9">
      <c r="I547" s="20"/>
    </row>
    <row r="548" spans="9:9">
      <c r="I548" s="20"/>
    </row>
    <row r="549" spans="9:9">
      <c r="I549" s="20"/>
    </row>
    <row r="550" spans="9:9">
      <c r="I550" s="20"/>
    </row>
    <row r="551" spans="9:9">
      <c r="I551" s="20"/>
    </row>
    <row r="552" spans="9:9">
      <c r="I552" s="20"/>
    </row>
    <row r="553" spans="9:9">
      <c r="I553" s="20"/>
    </row>
    <row r="554" spans="9:9">
      <c r="I554" s="20"/>
    </row>
    <row r="555" spans="9:9">
      <c r="I555" s="20"/>
    </row>
    <row r="556" spans="9:9">
      <c r="I556" s="20"/>
    </row>
    <row r="557" spans="9:9">
      <c r="I557" s="20"/>
    </row>
    <row r="558" spans="9:9">
      <c r="I558" s="20"/>
    </row>
    <row r="559" spans="9:9">
      <c r="I559" s="20"/>
    </row>
    <row r="560" spans="9:9">
      <c r="I560" s="20"/>
    </row>
    <row r="561" spans="9:9">
      <c r="I561" s="20"/>
    </row>
    <row r="562" spans="9:9">
      <c r="I562" s="20"/>
    </row>
    <row r="563" spans="9:9">
      <c r="I563" s="20"/>
    </row>
    <row r="564" spans="9:9">
      <c r="I564" s="20"/>
    </row>
    <row r="565" spans="9:9">
      <c r="I565" s="20"/>
    </row>
    <row r="566" spans="9:9">
      <c r="I566" s="20"/>
    </row>
    <row r="567" spans="9:9">
      <c r="I567" s="20"/>
    </row>
    <row r="568" spans="9:9">
      <c r="I568" s="20"/>
    </row>
    <row r="569" spans="9:9">
      <c r="I569" s="20"/>
    </row>
    <row r="570" spans="9:9">
      <c r="I570" s="20"/>
    </row>
    <row r="571" spans="9:9">
      <c r="I571" s="20"/>
    </row>
    <row r="572" spans="9:9">
      <c r="I572" s="20"/>
    </row>
    <row r="573" spans="9:9">
      <c r="I573" s="20"/>
    </row>
    <row r="574" spans="9:9">
      <c r="I574" s="20"/>
    </row>
    <row r="575" spans="9:9">
      <c r="I575" s="20"/>
    </row>
    <row r="576" spans="9:9">
      <c r="I576" s="20"/>
    </row>
    <row r="577" spans="9:9">
      <c r="I577" s="20"/>
    </row>
    <row r="578" spans="9:9">
      <c r="I578" s="20"/>
    </row>
    <row r="579" spans="9:9">
      <c r="I579" s="20"/>
    </row>
    <row r="580" spans="9:9">
      <c r="I580" s="20"/>
    </row>
    <row r="581" spans="9:9">
      <c r="I581" s="20"/>
    </row>
    <row r="582" spans="9:9">
      <c r="I582" s="20"/>
    </row>
    <row r="583" spans="9:9">
      <c r="I583" s="20"/>
    </row>
    <row r="584" spans="9:9">
      <c r="I584" s="20"/>
    </row>
    <row r="585" spans="9:9">
      <c r="I585" s="20"/>
    </row>
    <row r="586" spans="9:9">
      <c r="I586" s="20"/>
    </row>
    <row r="587" spans="9:9">
      <c r="I587" s="20"/>
    </row>
    <row r="588" spans="9:9">
      <c r="I588" s="20"/>
    </row>
    <row r="589" spans="9:9">
      <c r="I589" s="20"/>
    </row>
    <row r="590" spans="9:9">
      <c r="I590" s="20"/>
    </row>
    <row r="591" spans="9:9">
      <c r="I591" s="20"/>
    </row>
    <row r="592" spans="9:9">
      <c r="I592" s="20"/>
    </row>
    <row r="593" spans="9:9">
      <c r="I593" s="20"/>
    </row>
    <row r="594" spans="9:9">
      <c r="I594" s="20"/>
    </row>
    <row r="595" spans="9:9">
      <c r="I595" s="20"/>
    </row>
    <row r="596" spans="9:9">
      <c r="I596" s="20"/>
    </row>
    <row r="597" spans="9:9">
      <c r="I597" s="20"/>
    </row>
    <row r="598" spans="9:9">
      <c r="I598" s="20"/>
    </row>
    <row r="599" spans="9:9">
      <c r="I599" s="20"/>
    </row>
    <row r="600" spans="9:9">
      <c r="I600" s="20"/>
    </row>
    <row r="601" spans="9:9">
      <c r="I601" s="20"/>
    </row>
    <row r="602" spans="9:9">
      <c r="I602" s="20"/>
    </row>
    <row r="603" spans="9:9">
      <c r="I603" s="20"/>
    </row>
    <row r="604" spans="9:9">
      <c r="I604" s="20"/>
    </row>
    <row r="605" spans="9:9">
      <c r="I605" s="20"/>
    </row>
    <row r="606" spans="9:9">
      <c r="I606" s="20"/>
    </row>
    <row r="607" spans="9:9">
      <c r="I607" s="20"/>
    </row>
    <row r="608" spans="9:9">
      <c r="I608" s="20"/>
    </row>
    <row r="609" spans="9:9">
      <c r="I609" s="20"/>
    </row>
    <row r="610" spans="9:9">
      <c r="I610" s="20"/>
    </row>
    <row r="611" spans="9:9">
      <c r="I611" s="20"/>
    </row>
    <row r="612" spans="9:9">
      <c r="I612" s="20"/>
    </row>
    <row r="613" spans="9:9">
      <c r="I613" s="20"/>
    </row>
    <row r="614" spans="9:9">
      <c r="I614" s="20"/>
    </row>
    <row r="615" spans="9:9">
      <c r="I615" s="20"/>
    </row>
    <row r="616" spans="9:9">
      <c r="I616" s="20"/>
    </row>
    <row r="617" spans="9:9">
      <c r="I617" s="20"/>
    </row>
    <row r="618" spans="9:9">
      <c r="I618" s="20"/>
    </row>
    <row r="619" spans="9:9">
      <c r="I619" s="20"/>
    </row>
    <row r="620" spans="9:9">
      <c r="I620" s="20"/>
    </row>
    <row r="621" spans="9:9">
      <c r="I621" s="20"/>
    </row>
    <row r="622" spans="9:9">
      <c r="I622" s="20"/>
    </row>
    <row r="623" spans="9:9">
      <c r="I623" s="20"/>
    </row>
    <row r="624" spans="9:9">
      <c r="I624" s="20"/>
    </row>
    <row r="625" spans="9:9">
      <c r="I625" s="20"/>
    </row>
    <row r="626" spans="9:9">
      <c r="I626" s="20"/>
    </row>
    <row r="627" spans="9:9">
      <c r="I627" s="20"/>
    </row>
    <row r="628" spans="9:9">
      <c r="I628" s="20"/>
    </row>
    <row r="629" spans="9:9">
      <c r="I629" s="20"/>
    </row>
    <row r="630" spans="9:9">
      <c r="I630" s="20"/>
    </row>
    <row r="631" spans="9:9">
      <c r="I631" s="20"/>
    </row>
    <row r="632" spans="9:9">
      <c r="I632" s="20"/>
    </row>
    <row r="633" spans="9:9">
      <c r="I633" s="20"/>
    </row>
    <row r="634" spans="9:9">
      <c r="I634" s="20"/>
    </row>
    <row r="635" spans="9:9">
      <c r="I635" s="20"/>
    </row>
    <row r="636" spans="9:9">
      <c r="I636" s="20"/>
    </row>
    <row r="637" spans="9:9">
      <c r="I637" s="20"/>
    </row>
    <row r="638" spans="9:9">
      <c r="I638" s="20"/>
    </row>
    <row r="639" spans="9:9">
      <c r="I639" s="20"/>
    </row>
    <row r="640" spans="9:9">
      <c r="I640" s="20"/>
    </row>
    <row r="641" spans="9:9">
      <c r="I641" s="20"/>
    </row>
    <row r="642" spans="9:9">
      <c r="I642" s="20"/>
    </row>
    <row r="643" spans="9:9">
      <c r="I643" s="20"/>
    </row>
    <row r="644" spans="9:9">
      <c r="I644" s="20"/>
    </row>
    <row r="645" spans="9:9">
      <c r="I645" s="20"/>
    </row>
    <row r="646" spans="9:9">
      <c r="I646" s="20"/>
    </row>
    <row r="647" spans="9:9">
      <c r="I647" s="20"/>
    </row>
    <row r="648" spans="9:9">
      <c r="I648" s="20"/>
    </row>
    <row r="649" spans="9:9">
      <c r="I649" s="20"/>
    </row>
    <row r="650" spans="9:9">
      <c r="I650" s="20"/>
    </row>
    <row r="651" spans="9:9">
      <c r="I651" s="20"/>
    </row>
    <row r="652" spans="9:9">
      <c r="I652" s="20"/>
    </row>
    <row r="653" spans="9:9">
      <c r="I653" s="20"/>
    </row>
    <row r="654" spans="9:9">
      <c r="I654" s="20"/>
    </row>
    <row r="655" spans="9:9">
      <c r="I655" s="20"/>
    </row>
    <row r="656" spans="9:9">
      <c r="I656" s="20"/>
    </row>
    <row r="657" spans="9:9">
      <c r="I657" s="20"/>
    </row>
    <row r="658" spans="9:9">
      <c r="I658" s="20"/>
    </row>
    <row r="659" spans="9:9">
      <c r="I659" s="20"/>
    </row>
    <row r="660" spans="9:9">
      <c r="I660" s="20"/>
    </row>
    <row r="661" spans="9:9">
      <c r="I661" s="20"/>
    </row>
    <row r="662" spans="9:9">
      <c r="I662" s="20"/>
    </row>
    <row r="663" spans="9:9">
      <c r="I663" s="20"/>
    </row>
    <row r="664" spans="9:9">
      <c r="I664" s="20"/>
    </row>
    <row r="665" spans="9:9">
      <c r="I665" s="20"/>
    </row>
    <row r="666" spans="9:9">
      <c r="I666" s="20"/>
    </row>
    <row r="667" spans="9:9">
      <c r="I667" s="20"/>
    </row>
    <row r="668" spans="9:9">
      <c r="I668" s="20"/>
    </row>
    <row r="669" spans="9:9">
      <c r="I669" s="20"/>
    </row>
    <row r="670" spans="9:9">
      <c r="I670" s="20"/>
    </row>
    <row r="671" spans="9:9">
      <c r="I671" s="20"/>
    </row>
    <row r="672" spans="9:9">
      <c r="I672" s="20"/>
    </row>
    <row r="673" spans="9:9">
      <c r="I673" s="20"/>
    </row>
    <row r="674" spans="9:9">
      <c r="I674" s="20"/>
    </row>
    <row r="675" spans="9:9">
      <c r="I675" s="20"/>
    </row>
    <row r="676" spans="9:9">
      <c r="I676" s="20"/>
    </row>
    <row r="677" spans="9:9">
      <c r="I677" s="20"/>
    </row>
    <row r="678" spans="9:9">
      <c r="I678" s="20"/>
    </row>
    <row r="679" spans="9:9">
      <c r="I679" s="20"/>
    </row>
    <row r="680" spans="9:9">
      <c r="I680" s="20"/>
    </row>
    <row r="681" spans="9:9">
      <c r="I681" s="20"/>
    </row>
    <row r="682" spans="9:9">
      <c r="I682" s="20"/>
    </row>
    <row r="683" spans="9:9">
      <c r="I683" s="20"/>
    </row>
    <row r="684" spans="9:9">
      <c r="I684" s="20"/>
    </row>
    <row r="685" spans="9:9">
      <c r="I685" s="20"/>
    </row>
    <row r="686" spans="9:9">
      <c r="I686" s="20"/>
    </row>
    <row r="687" spans="9:9">
      <c r="I687" s="20"/>
    </row>
    <row r="688" spans="9:9">
      <c r="I688" s="20"/>
    </row>
    <row r="689" spans="9:9">
      <c r="I689" s="20"/>
    </row>
    <row r="690" spans="9:9">
      <c r="I690" s="20"/>
    </row>
    <row r="691" spans="9:9">
      <c r="I691" s="20"/>
    </row>
    <row r="692" spans="9:9">
      <c r="I692" s="20"/>
    </row>
    <row r="693" spans="9:9">
      <c r="I693" s="20"/>
    </row>
    <row r="694" spans="9:9">
      <c r="I694" s="20"/>
    </row>
    <row r="695" spans="9:9">
      <c r="I695" s="20"/>
    </row>
    <row r="696" spans="9:9">
      <c r="I696" s="20"/>
    </row>
    <row r="697" spans="9:9">
      <c r="I697" s="20"/>
    </row>
    <row r="698" spans="9:9">
      <c r="I698" s="20"/>
    </row>
    <row r="699" spans="9:9">
      <c r="I699" s="20"/>
    </row>
    <row r="700" spans="9:9">
      <c r="I700" s="20"/>
    </row>
    <row r="701" spans="9:9">
      <c r="I701" s="20"/>
    </row>
    <row r="702" spans="9:9">
      <c r="I702" s="20"/>
    </row>
    <row r="703" spans="9:9">
      <c r="I703" s="20"/>
    </row>
    <row r="704" spans="9:9">
      <c r="I704" s="20"/>
    </row>
    <row r="705" spans="9:9">
      <c r="I705" s="20"/>
    </row>
    <row r="706" spans="9:9">
      <c r="I706" s="20"/>
    </row>
    <row r="707" spans="9:9">
      <c r="I707" s="20"/>
    </row>
    <row r="708" spans="9:9">
      <c r="I708" s="20"/>
    </row>
    <row r="709" spans="9:9">
      <c r="I709" s="20"/>
    </row>
    <row r="710" spans="9:9">
      <c r="I710" s="20"/>
    </row>
    <row r="711" spans="9:9">
      <c r="I711" s="20"/>
    </row>
    <row r="712" spans="9:9">
      <c r="I712" s="20"/>
    </row>
    <row r="713" spans="9:9">
      <c r="I713" s="20"/>
    </row>
    <row r="714" spans="9:9">
      <c r="I714" s="20"/>
    </row>
    <row r="715" spans="9:9">
      <c r="I715" s="20"/>
    </row>
    <row r="716" spans="9:9">
      <c r="I716" s="20"/>
    </row>
    <row r="717" spans="9:9">
      <c r="I717" s="20"/>
    </row>
    <row r="718" spans="9:9">
      <c r="I718" s="20"/>
    </row>
    <row r="719" spans="9:9">
      <c r="I719" s="20"/>
    </row>
    <row r="720" spans="9:9">
      <c r="I720" s="20"/>
    </row>
    <row r="721" spans="9:9">
      <c r="I721" s="20"/>
    </row>
    <row r="722" spans="9:9">
      <c r="I722" s="20"/>
    </row>
    <row r="723" spans="9:9">
      <c r="I723" s="20"/>
    </row>
    <row r="724" spans="9:9">
      <c r="I724" s="20"/>
    </row>
    <row r="725" spans="9:9">
      <c r="I725" s="20"/>
    </row>
    <row r="726" spans="9:9">
      <c r="I726" s="20"/>
    </row>
    <row r="727" spans="9:9">
      <c r="I727" s="20"/>
    </row>
    <row r="728" spans="9:9">
      <c r="I728" s="20"/>
    </row>
    <row r="729" spans="9:9">
      <c r="I729" s="20"/>
    </row>
    <row r="730" spans="9:9">
      <c r="I730" s="20"/>
    </row>
    <row r="731" spans="9:9">
      <c r="I731" s="20"/>
    </row>
    <row r="732" spans="9:9">
      <c r="I732" s="20"/>
    </row>
    <row r="733" spans="9:9">
      <c r="I733" s="20"/>
    </row>
    <row r="734" spans="9:9">
      <c r="I734" s="20"/>
    </row>
    <row r="735" spans="9:9">
      <c r="I735" s="20"/>
    </row>
    <row r="736" spans="9:9">
      <c r="I736" s="20"/>
    </row>
    <row r="737" spans="9:9">
      <c r="I737" s="20"/>
    </row>
    <row r="738" spans="9:9">
      <c r="I738" s="20"/>
    </row>
    <row r="739" spans="9:9">
      <c r="I739" s="20"/>
    </row>
    <row r="740" spans="9:9">
      <c r="I740" s="20"/>
    </row>
    <row r="741" spans="9:9">
      <c r="I741" s="20"/>
    </row>
    <row r="742" spans="9:9">
      <c r="I742" s="20"/>
    </row>
    <row r="743" spans="9:9">
      <c r="I743" s="20"/>
    </row>
    <row r="744" spans="9:9">
      <c r="I744" s="20"/>
    </row>
    <row r="745" spans="9:9">
      <c r="I745" s="20"/>
    </row>
    <row r="746" spans="9:9">
      <c r="I746" s="20"/>
    </row>
    <row r="747" spans="9:9">
      <c r="I747" s="20"/>
    </row>
    <row r="748" spans="9:9">
      <c r="I748" s="20"/>
    </row>
    <row r="749" spans="9:9">
      <c r="I749" s="20"/>
    </row>
    <row r="750" spans="9:9">
      <c r="I750" s="20"/>
    </row>
    <row r="751" spans="9:9">
      <c r="I751" s="20"/>
    </row>
    <row r="752" spans="9:9">
      <c r="I752" s="20"/>
    </row>
    <row r="753" spans="9:9">
      <c r="I753" s="20"/>
    </row>
    <row r="754" spans="9:9">
      <c r="I754" s="20"/>
    </row>
    <row r="755" spans="9:9">
      <c r="I755" s="20"/>
    </row>
    <row r="756" spans="9:9">
      <c r="I756" s="20"/>
    </row>
    <row r="757" spans="9:9">
      <c r="I757" s="20"/>
    </row>
    <row r="758" spans="9:9">
      <c r="I758" s="20"/>
    </row>
    <row r="759" spans="9:9">
      <c r="I759" s="20"/>
    </row>
    <row r="760" spans="9:9">
      <c r="I760" s="20"/>
    </row>
    <row r="761" spans="9:9">
      <c r="I761" s="20"/>
    </row>
    <row r="762" spans="9:9">
      <c r="I762" s="20"/>
    </row>
    <row r="763" spans="9:9">
      <c r="I763" s="20"/>
    </row>
    <row r="764" spans="9:9">
      <c r="I764" s="20"/>
    </row>
    <row r="765" spans="9:9">
      <c r="I765" s="20"/>
    </row>
    <row r="766" spans="9:9">
      <c r="I766" s="20"/>
    </row>
    <row r="767" spans="9:9">
      <c r="I767" s="20"/>
    </row>
    <row r="768" spans="9:9">
      <c r="I768" s="20"/>
    </row>
    <row r="769" spans="9:9">
      <c r="I769" s="20"/>
    </row>
    <row r="770" spans="9:9">
      <c r="I770" s="20"/>
    </row>
    <row r="771" spans="9:9">
      <c r="I771" s="20"/>
    </row>
    <row r="772" spans="9:9">
      <c r="I772" s="20"/>
    </row>
    <row r="773" spans="9:9">
      <c r="I773" s="20"/>
    </row>
    <row r="774" spans="9:9">
      <c r="I774" s="20"/>
    </row>
    <row r="775" spans="9:9">
      <c r="I775" s="20"/>
    </row>
    <row r="776" spans="9:9">
      <c r="I776" s="20"/>
    </row>
    <row r="777" spans="9:9">
      <c r="I777" s="20"/>
    </row>
    <row r="778" spans="9:9">
      <c r="I778" s="20"/>
    </row>
    <row r="779" spans="9:9">
      <c r="I779" s="20"/>
    </row>
    <row r="780" spans="9:9">
      <c r="I780" s="20"/>
    </row>
    <row r="781" spans="9:9">
      <c r="I781" s="20"/>
    </row>
    <row r="782" spans="9:9">
      <c r="I782" s="20"/>
    </row>
    <row r="783" spans="9:9">
      <c r="I783" s="20"/>
    </row>
    <row r="784" spans="9:9">
      <c r="I784" s="20"/>
    </row>
    <row r="785" spans="9:9">
      <c r="I785" s="20"/>
    </row>
    <row r="786" spans="9:9">
      <c r="I786" s="20"/>
    </row>
    <row r="787" spans="9:9">
      <c r="I787" s="20"/>
    </row>
    <row r="788" spans="9:9">
      <c r="I788" s="20"/>
    </row>
    <row r="789" spans="9:9">
      <c r="I789" s="20"/>
    </row>
    <row r="790" spans="9:9">
      <c r="I790" s="20"/>
    </row>
    <row r="791" spans="9:9">
      <c r="I791" s="20"/>
    </row>
    <row r="792" spans="9:9">
      <c r="I792" s="20"/>
    </row>
    <row r="793" spans="9:9">
      <c r="I793" s="20"/>
    </row>
    <row r="794" spans="9:9">
      <c r="I794" s="20"/>
    </row>
    <row r="795" spans="9:9">
      <c r="I795" s="20"/>
    </row>
    <row r="796" spans="9:9">
      <c r="I796" s="20"/>
    </row>
    <row r="797" spans="9:9">
      <c r="I797" s="20"/>
    </row>
    <row r="798" spans="9:9">
      <c r="I798" s="20"/>
    </row>
    <row r="799" spans="9:9">
      <c r="I799" s="20"/>
    </row>
    <row r="800" spans="9:9">
      <c r="I800" s="20"/>
    </row>
    <row r="801" spans="9:9">
      <c r="I801" s="20"/>
    </row>
    <row r="802" spans="9:9">
      <c r="I802" s="20"/>
    </row>
    <row r="803" spans="9:9">
      <c r="I803" s="20"/>
    </row>
    <row r="804" spans="9:9">
      <c r="I804" s="20"/>
    </row>
    <row r="805" spans="9:9">
      <c r="I805" s="20"/>
    </row>
    <row r="806" spans="9:9">
      <c r="I806" s="20"/>
    </row>
    <row r="807" spans="9:9">
      <c r="I807" s="20"/>
    </row>
    <row r="808" spans="9:9">
      <c r="I808" s="20"/>
    </row>
    <row r="809" spans="9:9">
      <c r="I809" s="20"/>
    </row>
    <row r="810" spans="9:9">
      <c r="I810" s="20"/>
    </row>
    <row r="811" spans="9:9">
      <c r="I811" s="20"/>
    </row>
    <row r="812" spans="9:9">
      <c r="I812" s="20"/>
    </row>
    <row r="813" spans="9:9">
      <c r="I813" s="20"/>
    </row>
    <row r="814" spans="9:9">
      <c r="I814" s="20"/>
    </row>
    <row r="815" spans="9:9">
      <c r="I815" s="20"/>
    </row>
    <row r="816" spans="9:9">
      <c r="I816" s="20"/>
    </row>
    <row r="817" spans="9:9">
      <c r="I817" s="20"/>
    </row>
    <row r="818" spans="9:9">
      <c r="I818" s="20"/>
    </row>
    <row r="819" spans="9:9">
      <c r="I819" s="20"/>
    </row>
    <row r="820" spans="9:9">
      <c r="I820" s="20"/>
    </row>
    <row r="821" spans="9:9">
      <c r="I821" s="20"/>
    </row>
    <row r="822" spans="9:9">
      <c r="I822" s="20"/>
    </row>
    <row r="823" spans="9:9">
      <c r="I823" s="20"/>
    </row>
    <row r="824" spans="9:9">
      <c r="I824" s="20"/>
    </row>
    <row r="825" spans="9:9">
      <c r="I825" s="20"/>
    </row>
    <row r="826" spans="9:9">
      <c r="I826" s="20"/>
    </row>
    <row r="827" spans="9:9">
      <c r="I827" s="20"/>
    </row>
    <row r="828" spans="9:9">
      <c r="I828" s="20"/>
    </row>
    <row r="829" spans="9:9">
      <c r="I829" s="20"/>
    </row>
    <row r="830" spans="9:9">
      <c r="I830" s="20"/>
    </row>
    <row r="831" spans="9:9">
      <c r="I831" s="20"/>
    </row>
    <row r="832" spans="9:9">
      <c r="I832" s="20"/>
    </row>
    <row r="833" spans="9:9">
      <c r="I833" s="20"/>
    </row>
    <row r="834" spans="9:9">
      <c r="I834" s="20"/>
    </row>
    <row r="835" spans="9:9">
      <c r="I835" s="20"/>
    </row>
    <row r="836" spans="9:9">
      <c r="I836" s="20"/>
    </row>
    <row r="837" spans="9:9">
      <c r="I837" s="20"/>
    </row>
    <row r="838" spans="9:9">
      <c r="I838" s="20"/>
    </row>
    <row r="839" spans="9:9">
      <c r="I839" s="20"/>
    </row>
    <row r="840" spans="9:9">
      <c r="I840" s="20"/>
    </row>
    <row r="841" spans="9:9">
      <c r="I841" s="20"/>
    </row>
    <row r="842" spans="9:9">
      <c r="I842" s="20"/>
    </row>
    <row r="843" spans="9:9">
      <c r="I843" s="20"/>
    </row>
    <row r="844" spans="9:9">
      <c r="I844" s="20"/>
    </row>
    <row r="845" spans="9:9">
      <c r="I845" s="20"/>
    </row>
    <row r="846" spans="9:9">
      <c r="I846" s="20"/>
    </row>
    <row r="847" spans="9:9">
      <c r="I847" s="20"/>
    </row>
    <row r="848" spans="9:9">
      <c r="I848" s="20"/>
    </row>
    <row r="849" spans="9:9">
      <c r="I849" s="20"/>
    </row>
    <row r="850" spans="9:9">
      <c r="I850" s="20"/>
    </row>
    <row r="851" spans="9:9">
      <c r="I851" s="20"/>
    </row>
    <row r="852" spans="9:9">
      <c r="I852" s="20"/>
    </row>
    <row r="853" spans="9:9">
      <c r="I853" s="20"/>
    </row>
    <row r="854" spans="9:9">
      <c r="I854" s="20"/>
    </row>
    <row r="855" spans="9:9">
      <c r="I855" s="20"/>
    </row>
    <row r="856" spans="9:9">
      <c r="I856" s="20"/>
    </row>
    <row r="857" spans="9:9">
      <c r="I857" s="20"/>
    </row>
    <row r="858" spans="9:9">
      <c r="I858" s="20"/>
    </row>
    <row r="859" spans="9:9">
      <c r="I859" s="20"/>
    </row>
    <row r="860" spans="9:9">
      <c r="I860" s="20"/>
    </row>
    <row r="861" spans="9:9">
      <c r="I861" s="20"/>
    </row>
    <row r="862" spans="9:9">
      <c r="I862" s="20"/>
    </row>
    <row r="863" spans="9:9">
      <c r="I863" s="20"/>
    </row>
    <row r="864" spans="9:9">
      <c r="I864" s="20"/>
    </row>
    <row r="865" spans="9:9">
      <c r="I865" s="20"/>
    </row>
    <row r="866" spans="9:9">
      <c r="I866" s="20"/>
    </row>
    <row r="867" spans="9:9">
      <c r="I867" s="20"/>
    </row>
    <row r="868" spans="9:9">
      <c r="I868" s="20"/>
    </row>
    <row r="869" spans="9:9">
      <c r="I869" s="20"/>
    </row>
    <row r="870" spans="9:9">
      <c r="I870" s="20"/>
    </row>
    <row r="871" spans="9:9">
      <c r="I871" s="20"/>
    </row>
    <row r="872" spans="9:9">
      <c r="I872" s="20"/>
    </row>
    <row r="873" spans="9:9">
      <c r="I873" s="20"/>
    </row>
    <row r="874" spans="9:9">
      <c r="I874" s="20"/>
    </row>
    <row r="875" spans="9:9">
      <c r="I875" s="20"/>
    </row>
    <row r="876" spans="9:9">
      <c r="I876" s="20"/>
    </row>
    <row r="877" spans="9:9">
      <c r="I877" s="20"/>
    </row>
    <row r="878" spans="9:9">
      <c r="I878" s="20"/>
    </row>
    <row r="879" spans="9:9">
      <c r="I879" s="20"/>
    </row>
    <row r="880" spans="9:9">
      <c r="I880" s="20"/>
    </row>
    <row r="881" spans="9:9">
      <c r="I881" s="20"/>
    </row>
    <row r="882" spans="9:9">
      <c r="I882" s="20"/>
    </row>
    <row r="883" spans="9:9">
      <c r="I883" s="20"/>
    </row>
    <row r="884" spans="9:9">
      <c r="I884" s="20"/>
    </row>
    <row r="885" spans="9:9">
      <c r="I885" s="20"/>
    </row>
    <row r="886" spans="9:9">
      <c r="I886" s="20"/>
    </row>
    <row r="887" spans="9:9">
      <c r="I887" s="20"/>
    </row>
    <row r="888" spans="9:9">
      <c r="I888" s="20"/>
    </row>
    <row r="889" spans="9:9">
      <c r="I889" s="20"/>
    </row>
    <row r="890" spans="9:9">
      <c r="I890" s="20"/>
    </row>
    <row r="891" spans="9:9">
      <c r="I891" s="20"/>
    </row>
    <row r="892" spans="9:9">
      <c r="I892" s="20"/>
    </row>
    <row r="893" spans="9:9">
      <c r="I893" s="20"/>
    </row>
    <row r="894" spans="9:9">
      <c r="I894" s="20"/>
    </row>
    <row r="895" spans="9:9">
      <c r="I895" s="20"/>
    </row>
    <row r="896" spans="9:9">
      <c r="I896" s="20"/>
    </row>
    <row r="897" spans="9:9">
      <c r="I897" s="20"/>
    </row>
    <row r="898" spans="9:9">
      <c r="I898" s="20"/>
    </row>
    <row r="899" spans="9:9">
      <c r="I899" s="20"/>
    </row>
    <row r="900" spans="9:9">
      <c r="I900" s="20"/>
    </row>
    <row r="901" spans="9:9">
      <c r="I901" s="20"/>
    </row>
    <row r="902" spans="9:9">
      <c r="I902" s="20"/>
    </row>
    <row r="903" spans="9:9">
      <c r="I903" s="20"/>
    </row>
    <row r="904" spans="9:9">
      <c r="I904" s="20"/>
    </row>
    <row r="905" spans="9:9">
      <c r="I905" s="20"/>
    </row>
    <row r="906" spans="9:9">
      <c r="I906" s="20"/>
    </row>
    <row r="907" spans="9:9">
      <c r="I907" s="20"/>
    </row>
    <row r="908" spans="9:9">
      <c r="I908" s="20"/>
    </row>
    <row r="909" spans="9:9">
      <c r="I909" s="20"/>
    </row>
    <row r="910" spans="9:9">
      <c r="I910" s="20"/>
    </row>
    <row r="911" spans="9:9">
      <c r="I911" s="20"/>
    </row>
    <row r="912" spans="9:9">
      <c r="I912" s="20"/>
    </row>
    <row r="913" spans="9:9">
      <c r="I913" s="20"/>
    </row>
    <row r="914" spans="9:9">
      <c r="I914" s="20"/>
    </row>
    <row r="915" spans="9:9">
      <c r="I915" s="20"/>
    </row>
    <row r="916" spans="9:9">
      <c r="I916" s="20"/>
    </row>
    <row r="917" spans="9:9">
      <c r="I917" s="20"/>
    </row>
    <row r="918" spans="9:9">
      <c r="I918" s="20"/>
    </row>
    <row r="919" spans="9:9">
      <c r="I919" s="20"/>
    </row>
    <row r="920" spans="9:9">
      <c r="I920" s="20"/>
    </row>
    <row r="921" spans="9:9">
      <c r="I921" s="20"/>
    </row>
    <row r="922" spans="9:9">
      <c r="I922" s="20"/>
    </row>
    <row r="923" spans="9:9">
      <c r="I923" s="20"/>
    </row>
    <row r="924" spans="9:9">
      <c r="I924" s="20"/>
    </row>
    <row r="925" spans="9:9">
      <c r="I925" s="20"/>
    </row>
    <row r="926" spans="9:9">
      <c r="I926" s="20"/>
    </row>
    <row r="927" spans="9:9">
      <c r="I927" s="20"/>
    </row>
    <row r="928" spans="9:9">
      <c r="I928" s="20"/>
    </row>
    <row r="929" spans="9:9">
      <c r="I929" s="20"/>
    </row>
    <row r="930" spans="9:9">
      <c r="I930" s="20"/>
    </row>
    <row r="931" spans="9:9">
      <c r="I931" s="20"/>
    </row>
    <row r="932" spans="9:9">
      <c r="I932" s="20"/>
    </row>
    <row r="933" spans="9:9">
      <c r="I933" s="20"/>
    </row>
    <row r="934" spans="9:9">
      <c r="I934" s="20"/>
    </row>
    <row r="935" spans="9:9">
      <c r="I935" s="20"/>
    </row>
    <row r="936" spans="9:9">
      <c r="I936" s="20"/>
    </row>
    <row r="937" spans="9:9">
      <c r="I937" s="20"/>
    </row>
    <row r="938" spans="9:9">
      <c r="I938" s="20"/>
    </row>
    <row r="939" spans="9:9">
      <c r="I939" s="20"/>
    </row>
    <row r="940" spans="9:9">
      <c r="I940" s="20"/>
    </row>
    <row r="941" spans="9:9">
      <c r="I941" s="20"/>
    </row>
    <row r="942" spans="9:9">
      <c r="I942" s="20"/>
    </row>
    <row r="943" spans="9:9">
      <c r="I943" s="20"/>
    </row>
    <row r="944" spans="9:9">
      <c r="I944" s="20"/>
    </row>
    <row r="945" spans="9:9">
      <c r="I945" s="20"/>
    </row>
    <row r="946" spans="9:9">
      <c r="I946" s="20"/>
    </row>
    <row r="947" spans="9:9">
      <c r="I947" s="20"/>
    </row>
    <row r="948" spans="9:9">
      <c r="I948" s="20"/>
    </row>
    <row r="949" spans="9:9">
      <c r="I949" s="20"/>
    </row>
    <row r="950" spans="9:9">
      <c r="I950" s="20"/>
    </row>
    <row r="951" spans="9:9">
      <c r="I951" s="20"/>
    </row>
    <row r="952" spans="9:9">
      <c r="I952" s="20"/>
    </row>
    <row r="953" spans="9:9">
      <c r="I953" s="20"/>
    </row>
    <row r="954" spans="9:9">
      <c r="I954" s="20"/>
    </row>
    <row r="955" spans="9:9">
      <c r="I955" s="20"/>
    </row>
    <row r="956" spans="9:9">
      <c r="I956" s="20"/>
    </row>
    <row r="957" spans="9:9">
      <c r="I957" s="20"/>
    </row>
    <row r="958" spans="9:9">
      <c r="I958" s="20"/>
    </row>
    <row r="959" spans="9:9">
      <c r="I959" s="20"/>
    </row>
    <row r="960" spans="9:9">
      <c r="I960" s="20"/>
    </row>
    <row r="961" spans="9:9">
      <c r="I961" s="20"/>
    </row>
    <row r="962" spans="9:9">
      <c r="I962" s="20"/>
    </row>
    <row r="963" spans="9:9">
      <c r="I963" s="20"/>
    </row>
    <row r="964" spans="9:9">
      <c r="I964" s="20"/>
    </row>
    <row r="965" spans="9:9">
      <c r="I965" s="20"/>
    </row>
    <row r="966" spans="9:9">
      <c r="I966" s="20"/>
    </row>
    <row r="967" spans="9:9">
      <c r="I967" s="20"/>
    </row>
    <row r="968" spans="9:9">
      <c r="I968" s="20"/>
    </row>
    <row r="969" spans="9:9">
      <c r="I969" s="20"/>
    </row>
    <row r="970" spans="9:9">
      <c r="I970" s="20"/>
    </row>
    <row r="971" spans="9:9">
      <c r="I971" s="20"/>
    </row>
    <row r="972" spans="9:9">
      <c r="I972" s="20"/>
    </row>
    <row r="973" spans="9:9">
      <c r="I973" s="20"/>
    </row>
    <row r="974" spans="9:9">
      <c r="I974" s="20"/>
    </row>
    <row r="975" spans="9:9">
      <c r="I975" s="20"/>
    </row>
    <row r="976" spans="9:9">
      <c r="I976" s="20"/>
    </row>
    <row r="977" spans="9:9">
      <c r="I977" s="20"/>
    </row>
    <row r="978" spans="9:9">
      <c r="I978" s="20"/>
    </row>
    <row r="979" spans="9:9">
      <c r="I979" s="20"/>
    </row>
    <row r="980" spans="9:9">
      <c r="I980" s="20"/>
    </row>
    <row r="981" spans="9:9">
      <c r="I981" s="20"/>
    </row>
    <row r="982" spans="9:9">
      <c r="I982" s="20"/>
    </row>
    <row r="983" spans="9:9">
      <c r="I983" s="20"/>
    </row>
    <row r="984" spans="9:9">
      <c r="I984" s="20"/>
    </row>
    <row r="985" spans="9:9">
      <c r="I985" s="20"/>
    </row>
    <row r="986" spans="9:9">
      <c r="I986" s="20"/>
    </row>
    <row r="987" spans="9:9">
      <c r="I987" s="20"/>
    </row>
    <row r="988" spans="9:9">
      <c r="I988" s="20"/>
    </row>
    <row r="989" spans="9:9">
      <c r="I989" s="20"/>
    </row>
    <row r="990" spans="9:9">
      <c r="I990" s="20"/>
    </row>
    <row r="991" spans="9:9">
      <c r="I991" s="20"/>
    </row>
    <row r="992" spans="9:9">
      <c r="I992" s="20"/>
    </row>
    <row r="993" spans="9:9">
      <c r="I993" s="20"/>
    </row>
    <row r="994" spans="9:9">
      <c r="I994" s="20"/>
    </row>
    <row r="995" spans="9:9">
      <c r="I995" s="20"/>
    </row>
    <row r="996" spans="9:9">
      <c r="I996" s="20"/>
    </row>
    <row r="997" spans="9:9">
      <c r="I997" s="20"/>
    </row>
    <row r="998" spans="9:9">
      <c r="I998" s="20"/>
    </row>
    <row r="999" spans="9:9">
      <c r="I999" s="20"/>
    </row>
  </sheetData>
  <autoFilter ref="A2:T14" xr:uid="{00000000-0009-0000-0000-000002000000}"/>
  <mergeCells count="4">
    <mergeCell ref="A1:N1"/>
    <mergeCell ref="P1:Q1"/>
    <mergeCell ref="R1:S1"/>
    <mergeCell ref="U1:V1"/>
  </mergeCells>
  <conditionalFormatting sqref="A1:A999">
    <cfRule type="containsText" dxfId="28" priority="5" operator="containsText" text="2025">
      <formula>NOT(ISERROR(SEARCH(("2025"),(A1))))</formula>
    </cfRule>
    <cfRule type="containsText" dxfId="27" priority="6" operator="containsText" text="2026">
      <formula>NOT(ISERROR(SEARCH(("2026"),(A1))))</formula>
    </cfRule>
  </conditionalFormatting>
  <conditionalFormatting sqref="A3:A14">
    <cfRule type="containsText" dxfId="26" priority="7" operator="containsText" text="2024">
      <formula>NOT(ISERROR(SEARCH(("2024"),(A3))))</formula>
    </cfRule>
  </conditionalFormatting>
  <conditionalFormatting sqref="P3:P14">
    <cfRule type="containsText" dxfId="25" priority="1" operator="containsText" text="SIM">
      <formula>NOT(ISERROR(SEARCH(("SIM"),(P3))))</formula>
    </cfRule>
    <cfRule type="containsText" dxfId="24" priority="2" operator="containsText" text="NÃO">
      <formula>NOT(ISERROR(SEARCH(("NÃO"),(P3))))</formula>
    </cfRule>
  </conditionalFormatting>
  <conditionalFormatting sqref="R3:S14">
    <cfRule type="containsText" dxfId="23" priority="3" operator="containsText" text="SIM">
      <formula>NOT(ISERROR(SEARCH(("SIM"),(R3))))</formula>
    </cfRule>
    <cfRule type="containsText" dxfId="22" priority="4" operator="containsText" text="NÃO">
      <formula>NOT(ISERROR(SEARCH(("NÃO"),(R3))))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8761D"/>
    <outlinePr summaryBelow="0" summaryRight="0"/>
    <pageSetUpPr fitToPage="1"/>
  </sheetPr>
  <dimension ref="A1:AB14"/>
  <sheetViews>
    <sheetView showGridLines="0" workbookViewId="0"/>
  </sheetViews>
  <sheetFormatPr defaultColWidth="11.25" defaultRowHeight="15.75" customHeight="1"/>
  <cols>
    <col min="1" max="1" width="9.875" customWidth="1"/>
    <col min="2" max="2" width="78.25" customWidth="1"/>
    <col min="3" max="3" width="18" customWidth="1"/>
    <col min="4" max="4" width="16.75" customWidth="1"/>
    <col min="5" max="5" width="25.625" customWidth="1"/>
    <col min="6" max="6" width="16.75" customWidth="1"/>
    <col min="7" max="7" width="23.375" customWidth="1"/>
    <col min="11" max="11" width="78.25" customWidth="1"/>
    <col min="12" max="12" width="30" customWidth="1"/>
    <col min="13" max="13" width="49.5" customWidth="1"/>
    <col min="14" max="14" width="11.25" hidden="1"/>
    <col min="18" max="18" width="78.25" customWidth="1"/>
    <col min="19" max="19" width="27.75" customWidth="1"/>
    <col min="20" max="20" width="24.125" customWidth="1"/>
    <col min="21" max="21" width="22.25" customWidth="1"/>
    <col min="25" max="25" width="17.75" customWidth="1"/>
    <col min="26" max="26" width="30" customWidth="1"/>
    <col min="27" max="27" width="76" customWidth="1"/>
    <col min="28" max="28" width="11.25" hidden="1"/>
  </cols>
  <sheetData>
    <row r="1" spans="1:27">
      <c r="A1" s="55"/>
      <c r="B1" s="67"/>
      <c r="C1" s="67"/>
      <c r="D1" s="56" t="s">
        <v>468</v>
      </c>
      <c r="E1" s="67"/>
      <c r="F1" s="67"/>
      <c r="G1" s="57"/>
      <c r="J1" s="56" t="s">
        <v>5</v>
      </c>
      <c r="K1" s="56" t="s">
        <v>6</v>
      </c>
      <c r="L1" s="56" t="s">
        <v>8</v>
      </c>
      <c r="M1" s="70" t="s">
        <v>84</v>
      </c>
      <c r="Q1" s="55"/>
      <c r="R1" s="67"/>
      <c r="S1" s="67"/>
      <c r="T1" s="56" t="s">
        <v>468</v>
      </c>
      <c r="U1" s="57"/>
      <c r="X1" s="56" t="s">
        <v>5</v>
      </c>
      <c r="Y1" s="56" t="s">
        <v>13</v>
      </c>
      <c r="Z1" s="56" t="s">
        <v>8</v>
      </c>
      <c r="AA1" s="70" t="s">
        <v>6</v>
      </c>
    </row>
    <row r="2" spans="1:27">
      <c r="A2" s="56" t="s">
        <v>5</v>
      </c>
      <c r="B2" s="56" t="s">
        <v>6</v>
      </c>
      <c r="C2" s="56" t="s">
        <v>9</v>
      </c>
      <c r="D2" s="55" t="s">
        <v>18</v>
      </c>
      <c r="E2" s="73" t="s">
        <v>17</v>
      </c>
      <c r="F2" s="73" t="s">
        <v>19</v>
      </c>
      <c r="G2" s="58" t="s">
        <v>21</v>
      </c>
      <c r="J2" s="55">
        <v>2025</v>
      </c>
      <c r="K2" s="55" t="s">
        <v>264</v>
      </c>
      <c r="L2" s="55" t="s">
        <v>265</v>
      </c>
      <c r="M2" s="71" t="s">
        <v>470</v>
      </c>
      <c r="Q2" s="56" t="s">
        <v>5</v>
      </c>
      <c r="R2" s="56" t="s">
        <v>6</v>
      </c>
      <c r="S2" s="56" t="s">
        <v>8</v>
      </c>
      <c r="T2" s="55" t="s">
        <v>15</v>
      </c>
      <c r="U2" s="58" t="s">
        <v>204</v>
      </c>
      <c r="X2" s="55">
        <v>2024</v>
      </c>
      <c r="Y2" s="55">
        <v>5400020240014</v>
      </c>
      <c r="Z2" s="55" t="s">
        <v>97</v>
      </c>
      <c r="AA2" s="71" t="s">
        <v>92</v>
      </c>
    </row>
    <row r="3" spans="1:27">
      <c r="A3" s="55">
        <v>2025</v>
      </c>
      <c r="B3" s="55" t="s">
        <v>264</v>
      </c>
      <c r="C3" s="55" t="s">
        <v>267</v>
      </c>
      <c r="D3" s="59">
        <v>400000</v>
      </c>
      <c r="E3" s="74">
        <v>400000</v>
      </c>
      <c r="F3" s="74">
        <v>400000</v>
      </c>
      <c r="G3" s="60">
        <v>400000</v>
      </c>
      <c r="J3" s="68"/>
      <c r="K3" s="55" t="s">
        <v>176</v>
      </c>
      <c r="L3" s="55" t="s">
        <v>177</v>
      </c>
      <c r="M3" s="71" t="s">
        <v>470</v>
      </c>
      <c r="Q3" s="55">
        <v>2024</v>
      </c>
      <c r="R3" s="55" t="s">
        <v>92</v>
      </c>
      <c r="S3" s="55" t="s">
        <v>97</v>
      </c>
      <c r="T3" s="59">
        <v>45657</v>
      </c>
      <c r="U3" s="60">
        <v>46317</v>
      </c>
      <c r="X3" s="55">
        <v>2025</v>
      </c>
      <c r="Y3" s="55">
        <v>5400020250016</v>
      </c>
      <c r="Z3" s="55" t="s">
        <v>211</v>
      </c>
      <c r="AA3" s="71" t="s">
        <v>210</v>
      </c>
    </row>
    <row r="4" spans="1:27">
      <c r="A4" s="68"/>
      <c r="B4" s="55" t="s">
        <v>176</v>
      </c>
      <c r="C4" s="55" t="s">
        <v>178</v>
      </c>
      <c r="D4" s="59">
        <v>4000000</v>
      </c>
      <c r="E4" s="74">
        <v>4000000</v>
      </c>
      <c r="F4" s="74">
        <v>4000000</v>
      </c>
      <c r="G4" s="60">
        <v>4000000</v>
      </c>
      <c r="J4" s="68"/>
      <c r="K4" s="55" t="s">
        <v>227</v>
      </c>
      <c r="L4" s="55" t="s">
        <v>231</v>
      </c>
      <c r="M4" s="71" t="s">
        <v>470</v>
      </c>
      <c r="Q4" s="55">
        <v>2025</v>
      </c>
      <c r="R4" s="55" t="s">
        <v>264</v>
      </c>
      <c r="S4" s="55" t="s">
        <v>265</v>
      </c>
      <c r="T4" s="59">
        <v>46021</v>
      </c>
      <c r="U4" s="60">
        <v>46296</v>
      </c>
      <c r="X4" s="68"/>
      <c r="Y4" s="68"/>
      <c r="Z4" s="55" t="s">
        <v>249</v>
      </c>
      <c r="AA4" s="71" t="s">
        <v>247</v>
      </c>
    </row>
    <row r="5" spans="1:27">
      <c r="A5" s="68"/>
      <c r="B5" s="55" t="s">
        <v>227</v>
      </c>
      <c r="C5" s="55" t="s">
        <v>233</v>
      </c>
      <c r="D5" s="59">
        <v>450000</v>
      </c>
      <c r="E5" s="74">
        <v>450000</v>
      </c>
      <c r="F5" s="74">
        <v>450000</v>
      </c>
      <c r="G5" s="60"/>
      <c r="J5" s="68"/>
      <c r="K5" s="55" t="s">
        <v>133</v>
      </c>
      <c r="L5" s="55" t="s">
        <v>138</v>
      </c>
      <c r="M5" s="71" t="s">
        <v>470</v>
      </c>
      <c r="Q5" s="68"/>
      <c r="R5" s="55" t="s">
        <v>176</v>
      </c>
      <c r="S5" s="55" t="s">
        <v>177</v>
      </c>
      <c r="T5" s="59">
        <v>46022</v>
      </c>
      <c r="U5" s="60">
        <v>46392</v>
      </c>
      <c r="X5" s="68"/>
      <c r="Y5" s="68"/>
      <c r="Z5" s="55" t="s">
        <v>265</v>
      </c>
      <c r="AA5" s="71" t="s">
        <v>264</v>
      </c>
    </row>
    <row r="6" spans="1:27">
      <c r="A6" s="68"/>
      <c r="B6" s="55" t="s">
        <v>133</v>
      </c>
      <c r="C6" s="55" t="s">
        <v>141</v>
      </c>
      <c r="D6" s="59">
        <v>5000000</v>
      </c>
      <c r="E6" s="74">
        <v>5000000</v>
      </c>
      <c r="F6" s="74">
        <v>5000000</v>
      </c>
      <c r="G6" s="60">
        <v>5000000</v>
      </c>
      <c r="J6" s="68"/>
      <c r="K6" s="55" t="s">
        <v>210</v>
      </c>
      <c r="L6" s="55" t="s">
        <v>211</v>
      </c>
      <c r="M6" s="71" t="s">
        <v>470</v>
      </c>
      <c r="Q6" s="68"/>
      <c r="R6" s="55" t="s">
        <v>227</v>
      </c>
      <c r="S6" s="55" t="s">
        <v>231</v>
      </c>
      <c r="T6" s="59">
        <v>46022</v>
      </c>
      <c r="U6" s="60">
        <v>46482</v>
      </c>
      <c r="X6" s="68"/>
      <c r="Y6" s="68"/>
      <c r="Z6" s="55" t="s">
        <v>231</v>
      </c>
      <c r="AA6" s="71" t="s">
        <v>227</v>
      </c>
    </row>
    <row r="7" spans="1:27">
      <c r="A7" s="68"/>
      <c r="B7" s="55" t="s">
        <v>210</v>
      </c>
      <c r="C7" s="55" t="s">
        <v>212</v>
      </c>
      <c r="D7" s="59">
        <v>500000</v>
      </c>
      <c r="E7" s="74">
        <v>500000</v>
      </c>
      <c r="F7" s="74">
        <v>500000</v>
      </c>
      <c r="G7" s="60">
        <v>500000</v>
      </c>
      <c r="J7" s="68"/>
      <c r="K7" s="55" t="s">
        <v>159</v>
      </c>
      <c r="L7" s="55" t="s">
        <v>161</v>
      </c>
      <c r="M7" s="71" t="s">
        <v>470</v>
      </c>
      <c r="Q7" s="68"/>
      <c r="R7" s="55" t="s">
        <v>133</v>
      </c>
      <c r="S7" s="55" t="s">
        <v>138</v>
      </c>
      <c r="T7" s="59">
        <v>46022</v>
      </c>
      <c r="U7" s="60">
        <v>46538</v>
      </c>
      <c r="X7" s="68"/>
      <c r="Y7" s="68"/>
      <c r="Z7" s="55" t="s">
        <v>177</v>
      </c>
      <c r="AA7" s="71" t="s">
        <v>176</v>
      </c>
    </row>
    <row r="8" spans="1:27">
      <c r="A8" s="68"/>
      <c r="B8" s="55" t="s">
        <v>159</v>
      </c>
      <c r="C8" s="55" t="s">
        <v>162</v>
      </c>
      <c r="D8" s="59">
        <v>330000</v>
      </c>
      <c r="E8" s="74">
        <v>330000</v>
      </c>
      <c r="F8" s="74">
        <v>330000</v>
      </c>
      <c r="G8" s="60">
        <v>330000</v>
      </c>
      <c r="J8" s="68"/>
      <c r="K8" s="55" t="s">
        <v>247</v>
      </c>
      <c r="L8" s="55" t="s">
        <v>249</v>
      </c>
      <c r="M8" s="71" t="s">
        <v>470</v>
      </c>
      <c r="Q8" s="68"/>
      <c r="R8" s="55" t="s">
        <v>210</v>
      </c>
      <c r="S8" s="55" t="s">
        <v>211</v>
      </c>
      <c r="T8" s="59">
        <v>46021</v>
      </c>
      <c r="U8" s="60">
        <v>46511</v>
      </c>
      <c r="X8" s="68"/>
      <c r="Y8" s="68"/>
      <c r="Z8" s="55" t="s">
        <v>161</v>
      </c>
      <c r="AA8" s="71" t="s">
        <v>159</v>
      </c>
    </row>
    <row r="9" spans="1:27">
      <c r="A9" s="68"/>
      <c r="B9" s="55" t="s">
        <v>247</v>
      </c>
      <c r="C9" s="55" t="s">
        <v>251</v>
      </c>
      <c r="D9" s="59">
        <v>450000</v>
      </c>
      <c r="E9" s="74">
        <v>450000</v>
      </c>
      <c r="F9" s="74">
        <v>450000</v>
      </c>
      <c r="G9" s="60">
        <v>450000</v>
      </c>
      <c r="J9" s="55">
        <v>2026</v>
      </c>
      <c r="K9" s="55" t="s">
        <v>326</v>
      </c>
      <c r="L9" s="55" t="s">
        <v>327</v>
      </c>
      <c r="M9" s="71" t="s">
        <v>336</v>
      </c>
      <c r="Q9" s="68"/>
      <c r="R9" s="55" t="s">
        <v>159</v>
      </c>
      <c r="S9" s="55" t="s">
        <v>161</v>
      </c>
      <c r="T9" s="59">
        <v>46022</v>
      </c>
      <c r="U9" s="60">
        <v>46511</v>
      </c>
      <c r="X9" s="68"/>
      <c r="Y9" s="68"/>
      <c r="Z9" s="55" t="s">
        <v>138</v>
      </c>
      <c r="AA9" s="71" t="s">
        <v>133</v>
      </c>
    </row>
    <row r="10" spans="1:27">
      <c r="A10" s="55">
        <v>2026</v>
      </c>
      <c r="B10" s="55" t="s">
        <v>326</v>
      </c>
      <c r="C10" s="55" t="s">
        <v>328</v>
      </c>
      <c r="D10" s="59">
        <v>250000</v>
      </c>
      <c r="E10" s="74">
        <v>250000</v>
      </c>
      <c r="F10" s="74">
        <v>250000</v>
      </c>
      <c r="G10" s="60"/>
      <c r="J10" s="68"/>
      <c r="K10" s="55" t="s">
        <v>308</v>
      </c>
      <c r="L10" s="55" t="s">
        <v>310</v>
      </c>
      <c r="M10" s="71" t="s">
        <v>321</v>
      </c>
      <c r="Q10" s="68"/>
      <c r="R10" s="55" t="s">
        <v>247</v>
      </c>
      <c r="S10" s="55" t="s">
        <v>249</v>
      </c>
      <c r="T10" s="59">
        <v>46021</v>
      </c>
      <c r="U10" s="60">
        <v>46356</v>
      </c>
      <c r="X10" s="55">
        <v>2026</v>
      </c>
      <c r="Y10" s="55">
        <v>5400020260009</v>
      </c>
      <c r="Z10" s="55" t="s">
        <v>327</v>
      </c>
      <c r="AA10" s="71" t="s">
        <v>326</v>
      </c>
    </row>
    <row r="11" spans="1:27">
      <c r="A11" s="68"/>
      <c r="B11" s="55" t="s">
        <v>308</v>
      </c>
      <c r="C11" s="55" t="s">
        <v>311</v>
      </c>
      <c r="D11" s="59">
        <v>2500000</v>
      </c>
      <c r="E11" s="74">
        <v>2500000</v>
      </c>
      <c r="F11" s="74">
        <v>2500000</v>
      </c>
      <c r="G11" s="60"/>
      <c r="J11" s="69"/>
      <c r="K11" s="64" t="s">
        <v>283</v>
      </c>
      <c r="L11" s="64" t="s">
        <v>470</v>
      </c>
      <c r="M11" s="72" t="s">
        <v>302</v>
      </c>
      <c r="Q11" s="55">
        <v>2026</v>
      </c>
      <c r="R11" s="55" t="s">
        <v>326</v>
      </c>
      <c r="S11" s="55" t="s">
        <v>327</v>
      </c>
      <c r="T11" s="59">
        <v>46174</v>
      </c>
      <c r="U11" s="60">
        <v>46539</v>
      </c>
      <c r="X11" s="68"/>
      <c r="Y11" s="55">
        <v>5400020260023</v>
      </c>
      <c r="Z11" s="55" t="s">
        <v>310</v>
      </c>
      <c r="AA11" s="71" t="s">
        <v>308</v>
      </c>
    </row>
    <row r="12" spans="1:27">
      <c r="A12" s="68"/>
      <c r="B12" s="55" t="s">
        <v>342</v>
      </c>
      <c r="C12" s="55" t="s">
        <v>345</v>
      </c>
      <c r="D12" s="59">
        <v>500000</v>
      </c>
      <c r="E12" s="74">
        <v>500000</v>
      </c>
      <c r="F12" s="74"/>
      <c r="G12" s="60"/>
      <c r="Q12" s="68"/>
      <c r="R12" s="55" t="s">
        <v>308</v>
      </c>
      <c r="S12" s="55" t="s">
        <v>310</v>
      </c>
      <c r="T12" s="59">
        <v>46222</v>
      </c>
      <c r="U12" s="60">
        <v>46586</v>
      </c>
      <c r="X12" s="69"/>
      <c r="Y12" s="69"/>
      <c r="Z12" s="64" t="s">
        <v>470</v>
      </c>
      <c r="AA12" s="72" t="s">
        <v>283</v>
      </c>
    </row>
    <row r="13" spans="1:27">
      <c r="A13" s="68"/>
      <c r="B13" s="55" t="s">
        <v>283</v>
      </c>
      <c r="C13" s="55" t="s">
        <v>285</v>
      </c>
      <c r="D13" s="59">
        <v>2500000</v>
      </c>
      <c r="E13" s="74">
        <v>2500000</v>
      </c>
      <c r="F13" s="74"/>
      <c r="G13" s="60"/>
      <c r="Q13" s="69"/>
      <c r="R13" s="64" t="s">
        <v>283</v>
      </c>
      <c r="S13" s="64" t="s">
        <v>470</v>
      </c>
      <c r="T13" s="65">
        <v>46178</v>
      </c>
      <c r="U13" s="66">
        <v>46542</v>
      </c>
    </row>
    <row r="14" spans="1:27" ht="15.75" customHeight="1">
      <c r="A14" s="64" t="s">
        <v>469</v>
      </c>
      <c r="B14" s="75"/>
      <c r="C14" s="75"/>
      <c r="D14" s="65">
        <v>16880000</v>
      </c>
      <c r="E14" s="76">
        <v>16880000</v>
      </c>
      <c r="F14" s="76">
        <v>13880000</v>
      </c>
      <c r="G14" s="66">
        <v>10680000</v>
      </c>
    </row>
  </sheetData>
  <conditionalFormatting sqref="J2:J11 A2:A12 Q2:Q12 X2:X12">
    <cfRule type="containsText" dxfId="21" priority="6" operator="containsText" text="2024">
      <formula>NOT(ISERROR(SEARCH(("2024"),(A2))))</formula>
    </cfRule>
    <cfRule type="containsText" dxfId="20" priority="7" operator="containsText" text="2025">
      <formula>NOT(ISERROR(SEARCH(("2025"),(A2))))</formula>
    </cfRule>
    <cfRule type="containsText" dxfId="19" priority="8" operator="containsText" text="2026">
      <formula>NOT(ISERROR(SEARCH(("2026"),(A2))))</formula>
    </cfRule>
  </conditionalFormatting>
  <conditionalFormatting sqref="T2:U2">
    <cfRule type="cellIs" dxfId="18" priority="1" operator="between">
      <formula>"01/01/2024"</formula>
      <formula>"31/12/2024"</formula>
    </cfRule>
    <cfRule type="cellIs" dxfId="17" priority="2" operator="between">
      <formula>"01/01/2025"</formula>
      <formula>"31/12/2025"</formula>
    </cfRule>
    <cfRule type="cellIs" dxfId="16" priority="3" operator="between">
      <formula>"01/01/2026"</formula>
      <formula>"31/12/2026"</formula>
    </cfRule>
    <cfRule type="cellIs" dxfId="15" priority="4" operator="between">
      <formula>"01/01/2027"</formula>
      <formula>"31/12/2027"</formula>
    </cfRule>
    <cfRule type="cellIs" dxfId="14" priority="5" operator="between">
      <formula>"01/01/2028"</formula>
      <formula>"31/12/2028"</formula>
    </cfRule>
  </conditionalFormatting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9000"/>
    <outlinePr summaryBelow="0" summaryRight="0"/>
  </sheetPr>
  <dimension ref="A1:P6"/>
  <sheetViews>
    <sheetView workbookViewId="0"/>
  </sheetViews>
  <sheetFormatPr defaultColWidth="11.25" defaultRowHeight="15.75" customHeight="1"/>
  <cols>
    <col min="1" max="1" width="9.125" customWidth="1"/>
    <col min="2" max="2" width="44.375" customWidth="1"/>
    <col min="3" max="3" width="12.75" customWidth="1"/>
    <col min="4" max="4" width="15.75" customWidth="1"/>
    <col min="5" max="5" width="21.125" customWidth="1"/>
    <col min="6" max="7" width="12.875" customWidth="1"/>
    <col min="8" max="9" width="13.25" customWidth="1"/>
    <col min="10" max="13" width="15.25" customWidth="1"/>
    <col min="14" max="14" width="15.625" customWidth="1"/>
    <col min="15" max="15" width="33.625" customWidth="1"/>
  </cols>
  <sheetData>
    <row r="1" spans="1:16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8"/>
      <c r="L1" s="46" t="s">
        <v>1</v>
      </c>
      <c r="M1" s="48"/>
      <c r="N1" s="1" t="s">
        <v>404</v>
      </c>
      <c r="O1" s="1" t="s">
        <v>3</v>
      </c>
    </row>
    <row r="2" spans="1:16">
      <c r="A2" s="2" t="s">
        <v>5</v>
      </c>
      <c r="B2" s="2" t="s">
        <v>6</v>
      </c>
      <c r="C2" s="2" t="s">
        <v>7</v>
      </c>
      <c r="D2" s="2" t="s">
        <v>8</v>
      </c>
      <c r="E2" s="2" t="s">
        <v>10</v>
      </c>
      <c r="F2" s="3" t="s">
        <v>12</v>
      </c>
      <c r="G2" s="2" t="s">
        <v>14</v>
      </c>
      <c r="H2" s="2" t="s">
        <v>15</v>
      </c>
      <c r="I2" s="2" t="s">
        <v>16</v>
      </c>
      <c r="J2" s="2" t="s">
        <v>405</v>
      </c>
      <c r="K2" s="2" t="s">
        <v>18</v>
      </c>
      <c r="L2" s="2" t="s">
        <v>20</v>
      </c>
      <c r="M2" s="2" t="s">
        <v>21</v>
      </c>
      <c r="N2" s="2" t="s">
        <v>406</v>
      </c>
      <c r="O2" s="2" t="s">
        <v>407</v>
      </c>
      <c r="P2" s="2" t="s">
        <v>27</v>
      </c>
    </row>
    <row r="3" spans="1:16">
      <c r="A3" s="5">
        <v>2025</v>
      </c>
      <c r="B3" s="6" t="s">
        <v>408</v>
      </c>
      <c r="C3" s="5" t="s">
        <v>136</v>
      </c>
      <c r="D3" s="5" t="s">
        <v>409</v>
      </c>
      <c r="E3" s="5" t="s">
        <v>410</v>
      </c>
      <c r="F3" s="5" t="s">
        <v>74</v>
      </c>
      <c r="G3" s="5" t="s">
        <v>307</v>
      </c>
      <c r="H3" s="9">
        <v>45995</v>
      </c>
      <c r="I3" s="9">
        <v>46543</v>
      </c>
      <c r="J3" s="12">
        <v>5000000</v>
      </c>
      <c r="K3" s="12">
        <v>5000000</v>
      </c>
      <c r="L3" s="6" t="s">
        <v>36</v>
      </c>
      <c r="M3" s="12">
        <v>5000000</v>
      </c>
      <c r="N3" s="5" t="s">
        <v>411</v>
      </c>
      <c r="O3" s="6"/>
      <c r="P3" s="9">
        <v>45999</v>
      </c>
    </row>
    <row r="4" spans="1:16">
      <c r="A4" s="5">
        <v>2025</v>
      </c>
      <c r="B4" s="6" t="s">
        <v>412</v>
      </c>
      <c r="C4" s="5" t="s">
        <v>136</v>
      </c>
      <c r="D4" s="5" t="s">
        <v>413</v>
      </c>
      <c r="E4" s="5" t="s">
        <v>414</v>
      </c>
      <c r="F4" s="5" t="s">
        <v>74</v>
      </c>
      <c r="G4" s="5" t="s">
        <v>307</v>
      </c>
      <c r="H4" s="8">
        <v>46022</v>
      </c>
      <c r="I4" s="9">
        <v>46399</v>
      </c>
      <c r="J4" s="12">
        <v>5000000</v>
      </c>
      <c r="K4" s="12">
        <v>5000000</v>
      </c>
      <c r="L4" s="6" t="s">
        <v>36</v>
      </c>
      <c r="M4" s="12">
        <v>5000000</v>
      </c>
      <c r="N4" s="5" t="s">
        <v>411</v>
      </c>
      <c r="O4" s="6"/>
      <c r="P4" s="9">
        <v>46022</v>
      </c>
    </row>
    <row r="5" spans="1:16">
      <c r="A5" s="5">
        <v>2025</v>
      </c>
      <c r="B5" s="6" t="s">
        <v>415</v>
      </c>
      <c r="C5" s="5" t="s">
        <v>136</v>
      </c>
      <c r="D5" s="5" t="s">
        <v>416</v>
      </c>
      <c r="E5" s="5" t="s">
        <v>417</v>
      </c>
      <c r="F5" s="5" t="s">
        <v>74</v>
      </c>
      <c r="G5" s="5" t="s">
        <v>307</v>
      </c>
      <c r="H5" s="9">
        <v>45965</v>
      </c>
      <c r="I5" s="9">
        <v>46507</v>
      </c>
      <c r="J5" s="12">
        <v>4002240</v>
      </c>
      <c r="K5" s="12">
        <v>4002240</v>
      </c>
      <c r="L5" s="6" t="s">
        <v>36</v>
      </c>
      <c r="M5" s="12">
        <v>3500000</v>
      </c>
      <c r="N5" s="5" t="s">
        <v>411</v>
      </c>
      <c r="O5" s="6" t="s">
        <v>418</v>
      </c>
      <c r="P5" s="9"/>
    </row>
    <row r="6" spans="1:16">
      <c r="A6" s="5">
        <v>2025</v>
      </c>
      <c r="B6" s="6" t="s">
        <v>419</v>
      </c>
      <c r="C6" s="5" t="s">
        <v>160</v>
      </c>
      <c r="D6" s="5" t="s">
        <v>420</v>
      </c>
      <c r="E6" s="5" t="s">
        <v>421</v>
      </c>
      <c r="F6" s="5" t="s">
        <v>74</v>
      </c>
      <c r="G6" s="5" t="s">
        <v>307</v>
      </c>
      <c r="H6" s="8">
        <v>46003</v>
      </c>
      <c r="I6" s="8">
        <v>46368</v>
      </c>
      <c r="J6" s="12">
        <v>12500000</v>
      </c>
      <c r="K6" s="12">
        <v>12500000</v>
      </c>
      <c r="L6" s="6" t="s">
        <v>36</v>
      </c>
      <c r="M6" s="12">
        <v>12500000</v>
      </c>
      <c r="N6" s="5" t="s">
        <v>411</v>
      </c>
      <c r="O6" s="6"/>
      <c r="P6" s="9">
        <v>46086</v>
      </c>
    </row>
  </sheetData>
  <autoFilter ref="A2:O6" xr:uid="{00000000-0009-0000-0000-000004000000}"/>
  <mergeCells count="2">
    <mergeCell ref="A1:K1"/>
    <mergeCell ref="L1:M1"/>
  </mergeCells>
  <conditionalFormatting sqref="A3:A6">
    <cfRule type="containsText" dxfId="13" priority="1" operator="containsText" text="2025">
      <formula>NOT(ISERROR(SEARCH(("2025"),(A3))))</formula>
    </cfRule>
    <cfRule type="containsText" dxfId="12" priority="2" operator="containsText" text="2026">
      <formula>NOT(ISERROR(SEARCH(("2026"),(A3))))</formula>
    </cfRule>
    <cfRule type="containsText" dxfId="11" priority="3" operator="containsText" text="2024">
      <formula>NOT(ISERROR(SEARCH(("2024"),(A3))))</formula>
    </cfRule>
  </conditionalFormatting>
  <conditionalFormatting sqref="L3:L6">
    <cfRule type="containsText" dxfId="10" priority="4" operator="containsText" text="SIM">
      <formula>NOT(ISERROR(SEARCH(("SIM"),(L3))))</formula>
    </cfRule>
    <cfRule type="containsText" dxfId="9" priority="5" operator="containsText" text="NÃO">
      <formula>NOT(ISERROR(SEARCH(("NÃO"),(L3))))</formula>
    </cfRule>
  </conditionalFormatting>
  <conditionalFormatting sqref="N3:N6">
    <cfRule type="containsText" dxfId="8" priority="6" operator="containsText" text="SIM">
      <formula>NOT(ISERROR(SEARCH(("SIM"),(N3))))</formula>
    </cfRule>
    <cfRule type="containsText" dxfId="7" priority="7" operator="containsText" text="NÃO">
      <formula>NOT(ISERROR(SEARCH(("NÃO"),(N3))))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1"/>
  <sheetViews>
    <sheetView workbookViewId="0"/>
  </sheetViews>
  <sheetFormatPr defaultColWidth="11.25" defaultRowHeight="15.75" customHeight="1"/>
  <cols>
    <col min="2" max="2" width="40" customWidth="1"/>
    <col min="3" max="3" width="10" customWidth="1"/>
    <col min="4" max="4" width="20.125" customWidth="1"/>
    <col min="6" max="6" width="17.375" customWidth="1"/>
    <col min="7" max="7" width="10" customWidth="1"/>
    <col min="8" max="8" width="13.625" customWidth="1"/>
    <col min="9" max="9" width="12.75" customWidth="1"/>
    <col min="10" max="10" width="13.125" customWidth="1"/>
    <col min="12" max="12" width="13.5" customWidth="1"/>
    <col min="13" max="14" width="15.375" customWidth="1"/>
    <col min="15" max="15" width="30.25" customWidth="1"/>
  </cols>
  <sheetData>
    <row r="1" spans="1:15">
      <c r="A1" s="49" t="s">
        <v>0</v>
      </c>
      <c r="B1" s="47"/>
      <c r="C1" s="47"/>
      <c r="D1" s="47"/>
      <c r="E1" s="47"/>
      <c r="F1" s="47"/>
      <c r="G1" s="47"/>
      <c r="H1" s="47"/>
      <c r="I1" s="47"/>
      <c r="J1" s="48"/>
      <c r="K1" s="49" t="s">
        <v>1</v>
      </c>
      <c r="L1" s="48"/>
      <c r="M1" s="49" t="s">
        <v>2</v>
      </c>
      <c r="N1" s="48"/>
      <c r="O1" s="24" t="s">
        <v>3</v>
      </c>
    </row>
    <row r="2" spans="1:15">
      <c r="A2" s="25" t="s">
        <v>5</v>
      </c>
      <c r="B2" s="25" t="s">
        <v>6</v>
      </c>
      <c r="C2" s="25" t="s">
        <v>7</v>
      </c>
      <c r="D2" s="25" t="s">
        <v>8</v>
      </c>
      <c r="E2" s="25" t="s">
        <v>9</v>
      </c>
      <c r="F2" s="25" t="s">
        <v>10</v>
      </c>
      <c r="G2" s="25" t="s">
        <v>12</v>
      </c>
      <c r="H2" s="25" t="s">
        <v>14</v>
      </c>
      <c r="I2" s="25" t="s">
        <v>17</v>
      </c>
      <c r="J2" s="25" t="s">
        <v>18</v>
      </c>
      <c r="K2" s="25" t="s">
        <v>20</v>
      </c>
      <c r="L2" s="25" t="s">
        <v>21</v>
      </c>
      <c r="M2" s="25" t="s">
        <v>22</v>
      </c>
      <c r="N2" s="25" t="s">
        <v>23</v>
      </c>
      <c r="O2" s="25" t="s">
        <v>24</v>
      </c>
    </row>
    <row r="3" spans="1:15">
      <c r="A3" s="26">
        <v>2025</v>
      </c>
      <c r="B3" s="27" t="s">
        <v>422</v>
      </c>
      <c r="C3" s="26" t="s">
        <v>58</v>
      </c>
      <c r="D3" s="26" t="s">
        <v>278</v>
      </c>
      <c r="E3" s="26" t="s">
        <v>280</v>
      </c>
      <c r="F3" s="26" t="s">
        <v>281</v>
      </c>
      <c r="G3" s="26" t="s">
        <v>74</v>
      </c>
      <c r="H3" s="27" t="s">
        <v>99</v>
      </c>
      <c r="I3" s="28">
        <v>2600000</v>
      </c>
      <c r="J3" s="28">
        <v>2630400</v>
      </c>
      <c r="K3" s="29" t="s">
        <v>36</v>
      </c>
      <c r="L3" s="28">
        <v>2630400</v>
      </c>
      <c r="M3" s="29" t="s">
        <v>36</v>
      </c>
      <c r="N3" s="30" t="s">
        <v>65</v>
      </c>
      <c r="O3" s="31"/>
    </row>
    <row r="4" spans="1:15">
      <c r="A4" s="26">
        <v>2025</v>
      </c>
      <c r="B4" s="27" t="s">
        <v>426</v>
      </c>
      <c r="C4" s="26" t="s">
        <v>58</v>
      </c>
      <c r="D4" s="26" t="s">
        <v>317</v>
      </c>
      <c r="E4" s="26" t="s">
        <v>318</v>
      </c>
      <c r="F4" s="26" t="s">
        <v>319</v>
      </c>
      <c r="G4" s="26" t="s">
        <v>74</v>
      </c>
      <c r="H4" s="27" t="s">
        <v>320</v>
      </c>
      <c r="I4" s="28">
        <v>1500000</v>
      </c>
      <c r="J4" s="28">
        <v>1502000</v>
      </c>
      <c r="K4" s="29" t="s">
        <v>36</v>
      </c>
      <c r="L4" s="28">
        <v>1500000</v>
      </c>
      <c r="M4" s="29" t="s">
        <v>36</v>
      </c>
      <c r="N4" s="30" t="s">
        <v>65</v>
      </c>
      <c r="O4" s="31"/>
    </row>
    <row r="5" spans="1:15">
      <c r="A5" s="26">
        <v>2025</v>
      </c>
      <c r="B5" s="27" t="s">
        <v>351</v>
      </c>
      <c r="C5" s="26" t="s">
        <v>29</v>
      </c>
      <c r="D5" s="26" t="s">
        <v>352</v>
      </c>
      <c r="E5" s="26" t="s">
        <v>353</v>
      </c>
      <c r="F5" s="26" t="s">
        <v>354</v>
      </c>
      <c r="G5" s="26" t="s">
        <v>34</v>
      </c>
      <c r="H5" s="27" t="s">
        <v>44</v>
      </c>
      <c r="I5" s="28">
        <v>500000</v>
      </c>
      <c r="J5" s="28">
        <v>500000</v>
      </c>
      <c r="K5" s="29" t="s">
        <v>36</v>
      </c>
      <c r="L5" s="28">
        <v>500000</v>
      </c>
      <c r="M5" s="29" t="s">
        <v>36</v>
      </c>
      <c r="N5" s="30" t="s">
        <v>65</v>
      </c>
      <c r="O5" s="31"/>
    </row>
    <row r="6" spans="1:15">
      <c r="A6" s="26">
        <v>2025</v>
      </c>
      <c r="B6" s="27" t="s">
        <v>133</v>
      </c>
      <c r="C6" s="26" t="s">
        <v>135</v>
      </c>
      <c r="D6" s="26" t="s">
        <v>138</v>
      </c>
      <c r="E6" s="26" t="s">
        <v>141</v>
      </c>
      <c r="F6" s="26" t="s">
        <v>143</v>
      </c>
      <c r="G6" s="26" t="s">
        <v>74</v>
      </c>
      <c r="H6" s="27" t="s">
        <v>146</v>
      </c>
      <c r="I6" s="32">
        <v>5000000</v>
      </c>
      <c r="J6" s="32">
        <v>5000000</v>
      </c>
      <c r="K6" s="29" t="s">
        <v>36</v>
      </c>
      <c r="L6" s="32">
        <v>5000000</v>
      </c>
      <c r="M6" s="30" t="s">
        <v>65</v>
      </c>
      <c r="N6" s="30" t="s">
        <v>65</v>
      </c>
      <c r="O6" s="31"/>
    </row>
    <row r="7" spans="1:15">
      <c r="A7" s="26">
        <v>2025</v>
      </c>
      <c r="B7" s="27" t="s">
        <v>159</v>
      </c>
      <c r="C7" s="26" t="s">
        <v>160</v>
      </c>
      <c r="D7" s="26" t="s">
        <v>161</v>
      </c>
      <c r="E7" s="26" t="s">
        <v>162</v>
      </c>
      <c r="F7" s="26" t="s">
        <v>163</v>
      </c>
      <c r="G7" s="26" t="s">
        <v>74</v>
      </c>
      <c r="H7" s="27" t="s">
        <v>99</v>
      </c>
      <c r="I7" s="32">
        <v>330000</v>
      </c>
      <c r="J7" s="32">
        <v>330000</v>
      </c>
      <c r="K7" s="29" t="s">
        <v>36</v>
      </c>
      <c r="L7" s="32">
        <v>330000</v>
      </c>
      <c r="M7" s="30" t="s">
        <v>65</v>
      </c>
      <c r="N7" s="30" t="s">
        <v>65</v>
      </c>
      <c r="O7" s="31"/>
    </row>
    <row r="8" spans="1:15">
      <c r="A8" s="26">
        <v>2025</v>
      </c>
      <c r="B8" s="27" t="s">
        <v>176</v>
      </c>
      <c r="C8" s="26" t="s">
        <v>114</v>
      </c>
      <c r="D8" s="26" t="s">
        <v>177</v>
      </c>
      <c r="E8" s="26" t="s">
        <v>178</v>
      </c>
      <c r="F8" s="26" t="s">
        <v>194</v>
      </c>
      <c r="G8" s="26" t="s">
        <v>74</v>
      </c>
      <c r="H8" s="27" t="s">
        <v>198</v>
      </c>
      <c r="I8" s="32">
        <v>4000000</v>
      </c>
      <c r="J8" s="32">
        <v>4000000</v>
      </c>
      <c r="K8" s="29" t="s">
        <v>36</v>
      </c>
      <c r="L8" s="32">
        <v>4000000</v>
      </c>
      <c r="M8" s="30" t="s">
        <v>65</v>
      </c>
      <c r="N8" s="30" t="s">
        <v>65</v>
      </c>
      <c r="O8" s="31"/>
    </row>
    <row r="9" spans="1:15">
      <c r="A9" s="26">
        <v>2025</v>
      </c>
      <c r="B9" s="27" t="s">
        <v>210</v>
      </c>
      <c r="C9" s="26" t="s">
        <v>160</v>
      </c>
      <c r="D9" s="26" t="s">
        <v>211</v>
      </c>
      <c r="E9" s="26" t="s">
        <v>427</v>
      </c>
      <c r="F9" s="26" t="s">
        <v>213</v>
      </c>
      <c r="G9" s="26" t="s">
        <v>74</v>
      </c>
      <c r="H9" s="27" t="s">
        <v>99</v>
      </c>
      <c r="I9" s="32">
        <v>500000</v>
      </c>
      <c r="J9" s="32">
        <v>500000</v>
      </c>
      <c r="K9" s="29" t="s">
        <v>36</v>
      </c>
      <c r="L9" s="32">
        <v>500000</v>
      </c>
      <c r="M9" s="30" t="s">
        <v>65</v>
      </c>
      <c r="N9" s="30" t="s">
        <v>65</v>
      </c>
      <c r="O9" s="31"/>
    </row>
    <row r="10" spans="1:15">
      <c r="A10" s="26">
        <v>2025</v>
      </c>
      <c r="B10" s="27" t="s">
        <v>247</v>
      </c>
      <c r="C10" s="26" t="s">
        <v>114</v>
      </c>
      <c r="D10" s="26" t="s">
        <v>249</v>
      </c>
      <c r="E10" s="26" t="s">
        <v>251</v>
      </c>
      <c r="F10" s="26" t="s">
        <v>252</v>
      </c>
      <c r="G10" s="26" t="s">
        <v>74</v>
      </c>
      <c r="H10" s="27" t="s">
        <v>258</v>
      </c>
      <c r="I10" s="32">
        <v>450000</v>
      </c>
      <c r="J10" s="32">
        <v>450000</v>
      </c>
      <c r="K10" s="29" t="s">
        <v>36</v>
      </c>
      <c r="L10" s="32">
        <v>450000</v>
      </c>
      <c r="M10" s="30" t="s">
        <v>65</v>
      </c>
      <c r="N10" s="30" t="s">
        <v>65</v>
      </c>
      <c r="O10" s="31"/>
    </row>
    <row r="11" spans="1:15">
      <c r="A11" s="26">
        <v>2025</v>
      </c>
      <c r="B11" s="27" t="s">
        <v>264</v>
      </c>
      <c r="C11" s="26" t="s">
        <v>114</v>
      </c>
      <c r="D11" s="26" t="s">
        <v>265</v>
      </c>
      <c r="E11" s="26" t="s">
        <v>267</v>
      </c>
      <c r="F11" s="26" t="s">
        <v>269</v>
      </c>
      <c r="G11" s="26" t="s">
        <v>74</v>
      </c>
      <c r="H11" s="27" t="s">
        <v>275</v>
      </c>
      <c r="I11" s="32">
        <v>400000</v>
      </c>
      <c r="J11" s="32">
        <v>400000</v>
      </c>
      <c r="K11" s="29" t="s">
        <v>36</v>
      </c>
      <c r="L11" s="32">
        <v>400000</v>
      </c>
      <c r="M11" s="30" t="s">
        <v>65</v>
      </c>
      <c r="N11" s="30" t="s">
        <v>65</v>
      </c>
      <c r="O11" s="31"/>
    </row>
  </sheetData>
  <mergeCells count="3">
    <mergeCell ref="A1:J1"/>
    <mergeCell ref="K1:L1"/>
    <mergeCell ref="M1:N1"/>
  </mergeCells>
  <conditionalFormatting sqref="K3:N11">
    <cfRule type="containsText" dxfId="6" priority="1" operator="containsText" text="SIM">
      <formula>NOT(ISERROR(SEARCH(("SIM"),(K3))))</formula>
    </cfRule>
    <cfRule type="containsText" dxfId="5" priority="2" operator="containsText" text="NÃO">
      <formula>NOT(ISERROR(SEARCH(("NÃO"),(K3))))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42"/>
  <sheetViews>
    <sheetView workbookViewId="0"/>
  </sheetViews>
  <sheetFormatPr defaultColWidth="11.25" defaultRowHeight="15.75" customHeight="1"/>
  <cols>
    <col min="1" max="1" width="39.875" customWidth="1"/>
    <col min="3" max="3" width="14" customWidth="1"/>
    <col min="4" max="4" width="19.5" customWidth="1"/>
    <col min="5" max="5" width="19" customWidth="1"/>
    <col min="6" max="7" width="15.25" customWidth="1"/>
    <col min="8" max="8" width="15.75" customWidth="1"/>
    <col min="9" max="9" width="15.25" customWidth="1"/>
    <col min="10" max="10" width="15.5" customWidth="1"/>
    <col min="11" max="11" width="14.375" customWidth="1"/>
    <col min="12" max="12" width="12.375" customWidth="1"/>
    <col min="13" max="14" width="15.125" customWidth="1"/>
    <col min="19" max="19" width="36.5" customWidth="1"/>
    <col min="20" max="20" width="15.875" customWidth="1"/>
  </cols>
  <sheetData>
    <row r="1" spans="1:21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12</v>
      </c>
      <c r="G1" s="2" t="s">
        <v>17</v>
      </c>
      <c r="H1" s="2" t="s">
        <v>423</v>
      </c>
      <c r="I1" s="2" t="s">
        <v>424</v>
      </c>
      <c r="J1" s="2" t="s">
        <v>20</v>
      </c>
      <c r="K1" s="2" t="s">
        <v>21</v>
      </c>
      <c r="L1" s="2" t="s">
        <v>425</v>
      </c>
      <c r="M1" s="2" t="s">
        <v>22</v>
      </c>
      <c r="N1" s="2" t="s">
        <v>23</v>
      </c>
    </row>
    <row r="2" spans="1:21">
      <c r="A2" s="6" t="s">
        <v>69</v>
      </c>
      <c r="B2" s="5" t="s">
        <v>29</v>
      </c>
      <c r="C2" s="5" t="s">
        <v>70</v>
      </c>
      <c r="D2" s="5" t="s">
        <v>71</v>
      </c>
      <c r="E2" s="5" t="s">
        <v>72</v>
      </c>
      <c r="F2" s="5" t="s">
        <v>74</v>
      </c>
      <c r="G2" s="10">
        <v>450000</v>
      </c>
      <c r="H2" s="10">
        <v>455000</v>
      </c>
      <c r="I2" s="10">
        <v>450000</v>
      </c>
      <c r="J2" s="6" t="s">
        <v>65</v>
      </c>
      <c r="K2" s="10"/>
      <c r="L2" s="33">
        <f t="shared" ref="L2:L25" si="0">IFERROR(K2/I2,"")</f>
        <v>0</v>
      </c>
      <c r="M2" s="6" t="s">
        <v>65</v>
      </c>
      <c r="N2" s="6" t="s">
        <v>65</v>
      </c>
      <c r="T2" s="34"/>
    </row>
    <row r="3" spans="1:21">
      <c r="A3" s="6" t="s">
        <v>80</v>
      </c>
      <c r="B3" s="5" t="s">
        <v>81</v>
      </c>
      <c r="C3" s="5" t="s">
        <v>82</v>
      </c>
      <c r="D3" s="5" t="s">
        <v>83</v>
      </c>
      <c r="E3" s="5" t="s">
        <v>85</v>
      </c>
      <c r="F3" s="5" t="s">
        <v>74</v>
      </c>
      <c r="G3" s="10">
        <v>450000</v>
      </c>
      <c r="H3" s="10">
        <v>455377.26</v>
      </c>
      <c r="I3" s="10">
        <v>450000</v>
      </c>
      <c r="J3" s="6" t="s">
        <v>65</v>
      </c>
      <c r="K3" s="10"/>
      <c r="L3" s="33">
        <f t="shared" si="0"/>
        <v>0</v>
      </c>
      <c r="M3" s="6" t="s">
        <v>65</v>
      </c>
      <c r="N3" s="6" t="s">
        <v>65</v>
      </c>
      <c r="S3" s="50" t="s">
        <v>428</v>
      </c>
      <c r="T3" s="47"/>
      <c r="U3" s="48"/>
    </row>
    <row r="4" spans="1:21">
      <c r="A4" s="6" t="s">
        <v>91</v>
      </c>
      <c r="B4" s="5" t="s">
        <v>29</v>
      </c>
      <c r="C4" s="5" t="s">
        <v>93</v>
      </c>
      <c r="D4" s="5" t="s">
        <v>94</v>
      </c>
      <c r="E4" s="5" t="s">
        <v>95</v>
      </c>
      <c r="F4" s="5" t="s">
        <v>74</v>
      </c>
      <c r="G4" s="10">
        <v>2994000</v>
      </c>
      <c r="H4" s="10">
        <v>3000000</v>
      </c>
      <c r="I4" s="10">
        <v>2994000</v>
      </c>
      <c r="J4" s="6" t="s">
        <v>65</v>
      </c>
      <c r="K4" s="10"/>
      <c r="L4" s="33">
        <f t="shared" si="0"/>
        <v>0</v>
      </c>
      <c r="M4" s="6" t="s">
        <v>36</v>
      </c>
      <c r="N4" s="6" t="s">
        <v>36</v>
      </c>
      <c r="S4" s="7"/>
      <c r="T4" s="35" t="s">
        <v>429</v>
      </c>
      <c r="U4" s="35" t="s">
        <v>430</v>
      </c>
    </row>
    <row r="5" spans="1:21">
      <c r="A5" s="6" t="s">
        <v>104</v>
      </c>
      <c r="B5" s="5" t="s">
        <v>105</v>
      </c>
      <c r="C5" s="5" t="s">
        <v>106</v>
      </c>
      <c r="D5" s="5" t="s">
        <v>107</v>
      </c>
      <c r="E5" s="5" t="s">
        <v>108</v>
      </c>
      <c r="F5" s="5" t="s">
        <v>74</v>
      </c>
      <c r="G5" s="10">
        <v>990000</v>
      </c>
      <c r="H5" s="10">
        <v>1000000</v>
      </c>
      <c r="I5" s="10">
        <v>1000000</v>
      </c>
      <c r="J5" s="6" t="s">
        <v>65</v>
      </c>
      <c r="K5" s="10"/>
      <c r="L5" s="33">
        <f t="shared" si="0"/>
        <v>0</v>
      </c>
      <c r="M5" s="6" t="s">
        <v>36</v>
      </c>
      <c r="N5" s="6" t="s">
        <v>36</v>
      </c>
      <c r="S5" s="36" t="s">
        <v>431</v>
      </c>
      <c r="T5" s="7">
        <f>COUNTA(A2:A25)</f>
        <v>24</v>
      </c>
      <c r="U5" s="37">
        <f>100%</f>
        <v>1</v>
      </c>
    </row>
    <row r="6" spans="1:21">
      <c r="A6" s="6" t="s">
        <v>113</v>
      </c>
      <c r="B6" s="5" t="s">
        <v>114</v>
      </c>
      <c r="C6" s="5" t="s">
        <v>115</v>
      </c>
      <c r="D6" s="5" t="s">
        <v>116</v>
      </c>
      <c r="E6" s="5" t="s">
        <v>117</v>
      </c>
      <c r="F6" s="5" t="s">
        <v>74</v>
      </c>
      <c r="G6" s="10">
        <v>700000</v>
      </c>
      <c r="H6" s="10">
        <v>707000</v>
      </c>
      <c r="I6" s="10">
        <v>700000</v>
      </c>
      <c r="J6" s="6" t="s">
        <v>65</v>
      </c>
      <c r="K6" s="10"/>
      <c r="L6" s="33">
        <f t="shared" si="0"/>
        <v>0</v>
      </c>
      <c r="M6" s="6" t="s">
        <v>36</v>
      </c>
      <c r="N6" s="6" t="s">
        <v>36</v>
      </c>
      <c r="S6" s="36" t="s">
        <v>432</v>
      </c>
      <c r="T6" s="7">
        <f>COUNTIF(M2:M25, "SIM")</f>
        <v>19</v>
      </c>
      <c r="U6" s="37">
        <f>COUNTIF(M2:M25, "SIM") / COUNTA(M2:M25)</f>
        <v>0.79166666666666663</v>
      </c>
    </row>
    <row r="7" spans="1:21">
      <c r="A7" s="6" t="s">
        <v>121</v>
      </c>
      <c r="B7" s="5" t="s">
        <v>48</v>
      </c>
      <c r="C7" s="5" t="s">
        <v>122</v>
      </c>
      <c r="D7" s="5" t="s">
        <v>123</v>
      </c>
      <c r="E7" s="5" t="s">
        <v>124</v>
      </c>
      <c r="F7" s="5" t="s">
        <v>74</v>
      </c>
      <c r="G7" s="10">
        <v>1300000</v>
      </c>
      <c r="H7" s="10">
        <v>1301400</v>
      </c>
      <c r="I7" s="10">
        <v>1300000</v>
      </c>
      <c r="J7" s="6" t="s">
        <v>65</v>
      </c>
      <c r="K7" s="10"/>
      <c r="L7" s="33">
        <f t="shared" si="0"/>
        <v>0</v>
      </c>
      <c r="M7" s="6" t="s">
        <v>65</v>
      </c>
      <c r="N7" s="6" t="s">
        <v>65</v>
      </c>
      <c r="S7" s="36" t="s">
        <v>433</v>
      </c>
      <c r="T7" s="7">
        <f>COUNTIF(M2:M25, "NÃO")</f>
        <v>5</v>
      </c>
      <c r="U7" s="37">
        <f>COUNTIF(M2:M25, "NÃO") / COUNTA(M2:M25)</f>
        <v>0.20833333333333334</v>
      </c>
    </row>
    <row r="8" spans="1:21">
      <c r="A8" s="6" t="s">
        <v>134</v>
      </c>
      <c r="B8" s="5" t="s">
        <v>136</v>
      </c>
      <c r="C8" s="5" t="s">
        <v>137</v>
      </c>
      <c r="D8" s="5" t="s">
        <v>139</v>
      </c>
      <c r="E8" s="5" t="s">
        <v>140</v>
      </c>
      <c r="F8" s="5" t="s">
        <v>74</v>
      </c>
      <c r="G8" s="10">
        <v>500000</v>
      </c>
      <c r="H8" s="10">
        <v>505000</v>
      </c>
      <c r="I8" s="10">
        <v>500000</v>
      </c>
      <c r="J8" s="6" t="s">
        <v>65</v>
      </c>
      <c r="K8" s="10"/>
      <c r="L8" s="33">
        <f t="shared" si="0"/>
        <v>0</v>
      </c>
      <c r="M8" s="6" t="s">
        <v>36</v>
      </c>
      <c r="N8" s="6" t="s">
        <v>36</v>
      </c>
      <c r="S8" s="36" t="s">
        <v>435</v>
      </c>
      <c r="T8" s="7">
        <f>COUNTIF(N2:N25, "SIM")</f>
        <v>19</v>
      </c>
      <c r="U8" s="37">
        <f>COUNTIF(N2:N25, "SIM") / COUNTA(N2:N25)</f>
        <v>0.79166666666666663</v>
      </c>
    </row>
    <row r="9" spans="1:21">
      <c r="A9" s="6" t="s">
        <v>150</v>
      </c>
      <c r="B9" s="5" t="s">
        <v>151</v>
      </c>
      <c r="C9" s="5" t="s">
        <v>152</v>
      </c>
      <c r="D9" s="5" t="s">
        <v>153</v>
      </c>
      <c r="E9" s="5" t="s">
        <v>154</v>
      </c>
      <c r="F9" s="5" t="s">
        <v>74</v>
      </c>
      <c r="G9" s="10">
        <v>500000</v>
      </c>
      <c r="H9" s="10">
        <v>500500.5</v>
      </c>
      <c r="I9" s="10">
        <v>500000</v>
      </c>
      <c r="J9" s="6" t="s">
        <v>65</v>
      </c>
      <c r="K9" s="10"/>
      <c r="L9" s="33">
        <f t="shared" si="0"/>
        <v>0</v>
      </c>
      <c r="M9" s="6" t="s">
        <v>36</v>
      </c>
      <c r="N9" s="6" t="s">
        <v>36</v>
      </c>
      <c r="S9" s="36" t="s">
        <v>438</v>
      </c>
      <c r="T9" s="7">
        <f>COUNTIF(N2:N24, "NÃO")</f>
        <v>5</v>
      </c>
      <c r="U9" s="37">
        <f>COUNTIF(N2:N25, "NÃO") / COUNTA(N2:N25)</f>
        <v>0.20833333333333334</v>
      </c>
    </row>
    <row r="10" spans="1:21">
      <c r="A10" s="6" t="s">
        <v>168</v>
      </c>
      <c r="B10" s="5" t="s">
        <v>114</v>
      </c>
      <c r="C10" s="5" t="s">
        <v>169</v>
      </c>
      <c r="D10" s="5" t="s">
        <v>170</v>
      </c>
      <c r="E10" s="5" t="s">
        <v>171</v>
      </c>
      <c r="F10" s="5" t="s">
        <v>74</v>
      </c>
      <c r="G10" s="10">
        <v>1259150</v>
      </c>
      <c r="H10" s="10">
        <v>1260750</v>
      </c>
      <c r="I10" s="10">
        <v>1450000</v>
      </c>
      <c r="J10" s="6" t="s">
        <v>65</v>
      </c>
      <c r="K10" s="10"/>
      <c r="L10" s="33">
        <f t="shared" si="0"/>
        <v>0</v>
      </c>
      <c r="M10" s="6" t="s">
        <v>36</v>
      </c>
      <c r="N10" s="6" t="s">
        <v>36</v>
      </c>
      <c r="S10" s="36" t="s">
        <v>441</v>
      </c>
      <c r="T10" s="39">
        <f>SUM(I2:I25)</f>
        <v>31514000</v>
      </c>
      <c r="U10" s="37">
        <f>100%</f>
        <v>1</v>
      </c>
    </row>
    <row r="11" spans="1:21">
      <c r="A11" s="6" t="s">
        <v>180</v>
      </c>
      <c r="B11" s="5" t="s">
        <v>181</v>
      </c>
      <c r="C11" s="5" t="s">
        <v>182</v>
      </c>
      <c r="D11" s="5" t="s">
        <v>183</v>
      </c>
      <c r="E11" s="5" t="s">
        <v>184</v>
      </c>
      <c r="F11" s="5" t="s">
        <v>74</v>
      </c>
      <c r="G11" s="10">
        <v>450000</v>
      </c>
      <c r="H11" s="10">
        <v>452000</v>
      </c>
      <c r="I11" s="10">
        <v>450000</v>
      </c>
      <c r="J11" s="6" t="s">
        <v>65</v>
      </c>
      <c r="K11" s="10"/>
      <c r="L11" s="33">
        <f t="shared" si="0"/>
        <v>0</v>
      </c>
      <c r="M11" s="6" t="s">
        <v>36</v>
      </c>
      <c r="N11" s="6" t="s">
        <v>36</v>
      </c>
      <c r="S11" s="36" t="s">
        <v>443</v>
      </c>
      <c r="T11" s="39">
        <f>SUM(K2:K25)</f>
        <v>4600000</v>
      </c>
      <c r="U11" s="37">
        <f>T11/T10</f>
        <v>0.14596687186647203</v>
      </c>
    </row>
    <row r="12" spans="1:21">
      <c r="A12" s="6" t="s">
        <v>190</v>
      </c>
      <c r="B12" s="5" t="s">
        <v>29</v>
      </c>
      <c r="C12" s="5" t="s">
        <v>191</v>
      </c>
      <c r="D12" s="5" t="s">
        <v>192</v>
      </c>
      <c r="E12" s="5" t="s">
        <v>193</v>
      </c>
      <c r="F12" s="5" t="s">
        <v>74</v>
      </c>
      <c r="G12" s="10">
        <v>400000</v>
      </c>
      <c r="H12" s="10">
        <v>401000</v>
      </c>
      <c r="I12" s="10">
        <v>400000</v>
      </c>
      <c r="J12" s="6" t="s">
        <v>65</v>
      </c>
      <c r="K12" s="10"/>
      <c r="L12" s="33">
        <f t="shared" si="0"/>
        <v>0</v>
      </c>
      <c r="M12" s="6" t="s">
        <v>36</v>
      </c>
      <c r="N12" s="6" t="s">
        <v>36</v>
      </c>
      <c r="S12" s="36" t="s">
        <v>444</v>
      </c>
      <c r="T12" s="39">
        <f>T10-T11</f>
        <v>26914000</v>
      </c>
      <c r="U12" s="37">
        <f>T12/T10</f>
        <v>0.85403312813352794</v>
      </c>
    </row>
    <row r="13" spans="1:21">
      <c r="A13" s="6" t="s">
        <v>201</v>
      </c>
      <c r="B13" s="5" t="s">
        <v>114</v>
      </c>
      <c r="C13" s="5" t="s">
        <v>202</v>
      </c>
      <c r="D13" s="5" t="s">
        <v>203</v>
      </c>
      <c r="E13" s="5" t="s">
        <v>205</v>
      </c>
      <c r="F13" s="5" t="s">
        <v>74</v>
      </c>
      <c r="G13" s="10">
        <v>800000</v>
      </c>
      <c r="H13" s="10">
        <v>808000</v>
      </c>
      <c r="I13" s="10">
        <v>800000</v>
      </c>
      <c r="J13" s="6" t="s">
        <v>65</v>
      </c>
      <c r="K13" s="10"/>
      <c r="L13" s="33">
        <f t="shared" si="0"/>
        <v>0</v>
      </c>
      <c r="M13" s="6" t="s">
        <v>65</v>
      </c>
      <c r="N13" s="6" t="s">
        <v>65</v>
      </c>
    </row>
    <row r="14" spans="1:21">
      <c r="A14" s="6" t="s">
        <v>217</v>
      </c>
      <c r="B14" s="5" t="s">
        <v>48</v>
      </c>
      <c r="C14" s="5" t="s">
        <v>218</v>
      </c>
      <c r="D14" s="5" t="s">
        <v>219</v>
      </c>
      <c r="E14" s="5" t="s">
        <v>220</v>
      </c>
      <c r="F14" s="5" t="s">
        <v>74</v>
      </c>
      <c r="G14" s="10">
        <v>450000</v>
      </c>
      <c r="H14" s="10">
        <v>451000</v>
      </c>
      <c r="I14" s="10">
        <v>450000</v>
      </c>
      <c r="J14" s="6" t="s">
        <v>65</v>
      </c>
      <c r="K14" s="10"/>
      <c r="L14" s="33">
        <f t="shared" si="0"/>
        <v>0</v>
      </c>
      <c r="M14" s="6" t="s">
        <v>36</v>
      </c>
      <c r="N14" s="6" t="s">
        <v>36</v>
      </c>
    </row>
    <row r="15" spans="1:21">
      <c r="A15" s="6" t="s">
        <v>226</v>
      </c>
      <c r="B15" s="5" t="s">
        <v>228</v>
      </c>
      <c r="C15" s="5" t="s">
        <v>448</v>
      </c>
      <c r="D15" s="5" t="s">
        <v>230</v>
      </c>
      <c r="E15" s="5" t="s">
        <v>232</v>
      </c>
      <c r="F15" s="5" t="s">
        <v>74</v>
      </c>
      <c r="G15" s="10">
        <v>1500000</v>
      </c>
      <c r="H15" s="10">
        <v>1612903.23</v>
      </c>
      <c r="I15" s="10">
        <v>1500000</v>
      </c>
      <c r="J15" s="6" t="s">
        <v>65</v>
      </c>
      <c r="K15" s="10"/>
      <c r="L15" s="33">
        <f t="shared" si="0"/>
        <v>0</v>
      </c>
      <c r="M15" s="6" t="s">
        <v>36</v>
      </c>
      <c r="N15" s="6" t="s">
        <v>36</v>
      </c>
      <c r="S15" s="51" t="s">
        <v>449</v>
      </c>
      <c r="T15" s="47"/>
      <c r="U15" s="48"/>
    </row>
    <row r="16" spans="1:21">
      <c r="A16" s="6" t="s">
        <v>226</v>
      </c>
      <c r="B16" s="5" t="s">
        <v>228</v>
      </c>
      <c r="C16" s="5" t="s">
        <v>451</v>
      </c>
      <c r="D16" s="5" t="s">
        <v>242</v>
      </c>
      <c r="E16" s="5" t="s">
        <v>243</v>
      </c>
      <c r="F16" s="5" t="s">
        <v>74</v>
      </c>
      <c r="G16" s="10">
        <v>450000</v>
      </c>
      <c r="H16" s="10">
        <v>451681.86</v>
      </c>
      <c r="I16" s="10">
        <v>450000</v>
      </c>
      <c r="J16" s="6" t="s">
        <v>65</v>
      </c>
      <c r="K16" s="10"/>
      <c r="L16" s="33">
        <f t="shared" si="0"/>
        <v>0</v>
      </c>
      <c r="M16" s="6" t="s">
        <v>36</v>
      </c>
      <c r="N16" s="6" t="s">
        <v>36</v>
      </c>
      <c r="S16" s="36"/>
      <c r="T16" s="35" t="s">
        <v>429</v>
      </c>
      <c r="U16" s="35" t="s">
        <v>430</v>
      </c>
    </row>
    <row r="17" spans="1:21">
      <c r="A17" s="6" t="s">
        <v>253</v>
      </c>
      <c r="B17" s="5" t="s">
        <v>254</v>
      </c>
      <c r="C17" s="5" t="s">
        <v>255</v>
      </c>
      <c r="D17" s="5" t="s">
        <v>256</v>
      </c>
      <c r="E17" s="5" t="s">
        <v>257</v>
      </c>
      <c r="F17" s="5" t="s">
        <v>74</v>
      </c>
      <c r="G17" s="10">
        <v>370000</v>
      </c>
      <c r="H17" s="10">
        <v>379820</v>
      </c>
      <c r="I17" s="10">
        <v>370000</v>
      </c>
      <c r="J17" s="6" t="s">
        <v>65</v>
      </c>
      <c r="K17" s="10"/>
      <c r="L17" s="33">
        <f t="shared" si="0"/>
        <v>0</v>
      </c>
      <c r="M17" s="6" t="s">
        <v>36</v>
      </c>
      <c r="N17" s="6" t="s">
        <v>36</v>
      </c>
      <c r="S17" s="36" t="s">
        <v>452</v>
      </c>
      <c r="T17" s="7">
        <f>COUNTA(A29:A35)</f>
        <v>7</v>
      </c>
      <c r="U17" s="37">
        <f>100%</f>
        <v>1</v>
      </c>
    </row>
    <row r="18" spans="1:21">
      <c r="A18" s="6" t="s">
        <v>266</v>
      </c>
      <c r="B18" s="5" t="s">
        <v>136</v>
      </c>
      <c r="C18" s="5" t="s">
        <v>268</v>
      </c>
      <c r="D18" s="5" t="s">
        <v>270</v>
      </c>
      <c r="E18" s="5" t="s">
        <v>271</v>
      </c>
      <c r="F18" s="5" t="s">
        <v>74</v>
      </c>
      <c r="G18" s="10">
        <v>500000</v>
      </c>
      <c r="H18" s="10">
        <v>505000</v>
      </c>
      <c r="I18" s="10">
        <v>500000</v>
      </c>
      <c r="J18" s="6" t="s">
        <v>65</v>
      </c>
      <c r="K18" s="10"/>
      <c r="L18" s="33">
        <f t="shared" si="0"/>
        <v>0</v>
      </c>
      <c r="M18" s="6" t="s">
        <v>36</v>
      </c>
      <c r="N18" s="6" t="s">
        <v>36</v>
      </c>
      <c r="S18" s="36" t="s">
        <v>454</v>
      </c>
      <c r="T18" s="7">
        <f>COUNTIF(M29:M35, "SIM")</f>
        <v>7</v>
      </c>
      <c r="U18" s="37">
        <f>COUNTIF(M29:M35, "SIM") / COUNTA(M29:M35)</f>
        <v>1</v>
      </c>
    </row>
    <row r="19" spans="1:21">
      <c r="A19" s="6" t="s">
        <v>56</v>
      </c>
      <c r="B19" s="5" t="s">
        <v>58</v>
      </c>
      <c r="C19" s="5" t="s">
        <v>278</v>
      </c>
      <c r="D19" s="5" t="s">
        <v>280</v>
      </c>
      <c r="E19" s="5" t="s">
        <v>281</v>
      </c>
      <c r="F19" s="5" t="s">
        <v>74</v>
      </c>
      <c r="G19" s="10">
        <v>2600000</v>
      </c>
      <c r="H19" s="10">
        <v>2630400</v>
      </c>
      <c r="I19" s="10">
        <v>2600000</v>
      </c>
      <c r="J19" s="6" t="s">
        <v>36</v>
      </c>
      <c r="K19" s="10">
        <v>2600000</v>
      </c>
      <c r="L19" s="33">
        <f t="shared" si="0"/>
        <v>1</v>
      </c>
      <c r="M19" s="6" t="s">
        <v>36</v>
      </c>
      <c r="N19" s="6" t="s">
        <v>36</v>
      </c>
      <c r="S19" s="36" t="s">
        <v>455</v>
      </c>
      <c r="T19" s="7">
        <f>COUNTIF(M29:M35, "NÃO")</f>
        <v>0</v>
      </c>
      <c r="U19" s="37">
        <f>COUNTIF(M29:M35, "NÃO") / COUNTA(M29:M35)</f>
        <v>0</v>
      </c>
    </row>
    <row r="20" spans="1:21">
      <c r="A20" s="6" t="s">
        <v>274</v>
      </c>
      <c r="B20" s="5" t="s">
        <v>181</v>
      </c>
      <c r="C20" s="5" t="s">
        <v>276</v>
      </c>
      <c r="D20" s="5" t="s">
        <v>284</v>
      </c>
      <c r="E20" s="5" t="s">
        <v>286</v>
      </c>
      <c r="F20" s="5" t="s">
        <v>74</v>
      </c>
      <c r="G20" s="10">
        <v>450000</v>
      </c>
      <c r="H20" s="10">
        <v>450500</v>
      </c>
      <c r="I20" s="10">
        <v>450000</v>
      </c>
      <c r="J20" s="6" t="s">
        <v>65</v>
      </c>
      <c r="K20" s="10"/>
      <c r="L20" s="33">
        <f t="shared" si="0"/>
        <v>0</v>
      </c>
      <c r="M20" s="6" t="s">
        <v>36</v>
      </c>
      <c r="N20" s="6" t="s">
        <v>36</v>
      </c>
      <c r="S20" s="36" t="s">
        <v>435</v>
      </c>
      <c r="T20" s="7">
        <f>COUNTIF(N29:N35, "SIM")</f>
        <v>7</v>
      </c>
      <c r="U20" s="37">
        <f>COUNTIF(N29:N35, "SIM") / COUNTA(N29:N35)</f>
        <v>1</v>
      </c>
    </row>
    <row r="21" spans="1:21">
      <c r="A21" s="6" t="s">
        <v>296</v>
      </c>
      <c r="B21" s="5" t="s">
        <v>136</v>
      </c>
      <c r="C21" s="5" t="s">
        <v>297</v>
      </c>
      <c r="D21" s="5" t="s">
        <v>298</v>
      </c>
      <c r="E21" s="5" t="s">
        <v>299</v>
      </c>
      <c r="F21" s="5" t="s">
        <v>74</v>
      </c>
      <c r="G21" s="10">
        <v>500000</v>
      </c>
      <c r="H21" s="10">
        <v>505000</v>
      </c>
      <c r="I21" s="10">
        <v>500000</v>
      </c>
      <c r="J21" s="6" t="s">
        <v>65</v>
      </c>
      <c r="K21" s="10"/>
      <c r="L21" s="33">
        <f t="shared" si="0"/>
        <v>0</v>
      </c>
      <c r="M21" s="6" t="s">
        <v>36</v>
      </c>
      <c r="N21" s="6" t="s">
        <v>36</v>
      </c>
      <c r="S21" s="36" t="s">
        <v>438</v>
      </c>
      <c r="T21" s="7">
        <f>COUNTIF(N29:N35, "NÃO")</f>
        <v>0</v>
      </c>
      <c r="U21" s="37">
        <f>COUNTIF(N29:N35, "NÃO") / COUNTA(N29:N35)</f>
        <v>0</v>
      </c>
    </row>
    <row r="22" spans="1:21">
      <c r="A22" s="6" t="s">
        <v>293</v>
      </c>
      <c r="B22" s="5" t="s">
        <v>136</v>
      </c>
      <c r="C22" s="5" t="s">
        <v>295</v>
      </c>
      <c r="D22" s="5" t="s">
        <v>301</v>
      </c>
      <c r="E22" s="5" t="s">
        <v>303</v>
      </c>
      <c r="F22" s="5" t="s">
        <v>74</v>
      </c>
      <c r="G22" s="10">
        <v>10000000</v>
      </c>
      <c r="H22" s="10">
        <v>10030000</v>
      </c>
      <c r="I22" s="10">
        <v>10000000</v>
      </c>
      <c r="J22" s="6" t="s">
        <v>65</v>
      </c>
      <c r="K22" s="10"/>
      <c r="L22" s="33">
        <f t="shared" si="0"/>
        <v>0</v>
      </c>
      <c r="M22" s="6" t="s">
        <v>36</v>
      </c>
      <c r="N22" s="6" t="s">
        <v>36</v>
      </c>
      <c r="S22" s="36" t="s">
        <v>441</v>
      </c>
      <c r="T22" s="39">
        <f>SUM(I29:I35)</f>
        <v>11130000</v>
      </c>
      <c r="U22" s="37">
        <f>100%</f>
        <v>1</v>
      </c>
    </row>
    <row r="23" spans="1:21">
      <c r="A23" s="6" t="s">
        <v>426</v>
      </c>
      <c r="B23" s="5" t="s">
        <v>58</v>
      </c>
      <c r="C23" s="5" t="s">
        <v>317</v>
      </c>
      <c r="D23" s="5" t="s">
        <v>318</v>
      </c>
      <c r="E23" s="5" t="s">
        <v>319</v>
      </c>
      <c r="F23" s="5" t="s">
        <v>74</v>
      </c>
      <c r="G23" s="10">
        <v>1500000</v>
      </c>
      <c r="H23" s="10">
        <v>1502000</v>
      </c>
      <c r="I23" s="10">
        <v>1500000</v>
      </c>
      <c r="J23" s="6" t="s">
        <v>36</v>
      </c>
      <c r="K23" s="10">
        <v>1500000</v>
      </c>
      <c r="L23" s="33">
        <f t="shared" si="0"/>
        <v>1</v>
      </c>
      <c r="M23" s="6" t="s">
        <v>36</v>
      </c>
      <c r="N23" s="6" t="s">
        <v>36</v>
      </c>
      <c r="S23" s="36" t="s">
        <v>443</v>
      </c>
      <c r="T23" s="39">
        <f>SUM(K29:K35)</f>
        <v>10680000</v>
      </c>
      <c r="U23" s="37">
        <f>T23/T22</f>
        <v>0.95956873315363878</v>
      </c>
    </row>
    <row r="24" spans="1:21">
      <c r="A24" s="19" t="s">
        <v>322</v>
      </c>
      <c r="B24" s="5" t="s">
        <v>337</v>
      </c>
      <c r="C24" s="5" t="s">
        <v>323</v>
      </c>
      <c r="D24" s="5" t="s">
        <v>340</v>
      </c>
      <c r="E24" s="5" t="s">
        <v>341</v>
      </c>
      <c r="F24" s="5" t="s">
        <v>74</v>
      </c>
      <c r="G24" s="10">
        <v>1700000</v>
      </c>
      <c r="H24" s="10">
        <v>1734000</v>
      </c>
      <c r="I24" s="10">
        <v>1700000</v>
      </c>
      <c r="J24" s="6" t="s">
        <v>65</v>
      </c>
      <c r="K24" s="10"/>
      <c r="L24" s="33">
        <f t="shared" si="0"/>
        <v>0</v>
      </c>
      <c r="M24" s="6" t="s">
        <v>65</v>
      </c>
      <c r="N24" s="6" t="s">
        <v>65</v>
      </c>
      <c r="S24" s="36" t="s">
        <v>444</v>
      </c>
      <c r="T24" s="39">
        <f>T22-T23</f>
        <v>450000</v>
      </c>
      <c r="U24" s="37">
        <f>T24/T22</f>
        <v>4.0431266846361183E-2</v>
      </c>
    </row>
    <row r="25" spans="1:21">
      <c r="A25" s="6" t="s">
        <v>351</v>
      </c>
      <c r="B25" s="5" t="s">
        <v>29</v>
      </c>
      <c r="C25" s="5" t="s">
        <v>352</v>
      </c>
      <c r="D25" s="5" t="s">
        <v>353</v>
      </c>
      <c r="E25" s="5" t="s">
        <v>354</v>
      </c>
      <c r="F25" s="5" t="s">
        <v>34</v>
      </c>
      <c r="G25" s="10">
        <v>500000</v>
      </c>
      <c r="H25" s="10">
        <v>500000</v>
      </c>
      <c r="I25" s="10">
        <v>500000</v>
      </c>
      <c r="J25" s="6" t="s">
        <v>36</v>
      </c>
      <c r="K25" s="10">
        <v>500000</v>
      </c>
      <c r="L25" s="33">
        <f t="shared" si="0"/>
        <v>1</v>
      </c>
      <c r="M25" s="6" t="s">
        <v>36</v>
      </c>
      <c r="N25" s="6" t="s">
        <v>36</v>
      </c>
    </row>
    <row r="27" spans="1:21">
      <c r="S27" s="52" t="s">
        <v>457</v>
      </c>
      <c r="T27" s="47"/>
      <c r="U27" s="48"/>
    </row>
    <row r="28" spans="1:21">
      <c r="A28" s="2" t="s">
        <v>6</v>
      </c>
      <c r="B28" s="2" t="s">
        <v>7</v>
      </c>
      <c r="C28" s="2" t="s">
        <v>8</v>
      </c>
      <c r="D28" s="2" t="s">
        <v>9</v>
      </c>
      <c r="E28" s="2" t="s">
        <v>10</v>
      </c>
      <c r="F28" s="2" t="s">
        <v>12</v>
      </c>
      <c r="G28" s="2" t="s">
        <v>17</v>
      </c>
      <c r="H28" s="2" t="s">
        <v>18</v>
      </c>
      <c r="I28" s="2" t="s">
        <v>19</v>
      </c>
      <c r="J28" s="2" t="s">
        <v>20</v>
      </c>
      <c r="K28" s="2" t="s">
        <v>21</v>
      </c>
      <c r="L28" s="2" t="s">
        <v>425</v>
      </c>
      <c r="M28" s="2" t="s">
        <v>79</v>
      </c>
      <c r="N28" s="2" t="s">
        <v>23</v>
      </c>
      <c r="S28" s="36"/>
      <c r="T28" s="35" t="s">
        <v>429</v>
      </c>
      <c r="U28" s="35" t="s">
        <v>430</v>
      </c>
    </row>
    <row r="29" spans="1:21">
      <c r="A29" s="6" t="s">
        <v>133</v>
      </c>
      <c r="B29" s="5" t="s">
        <v>135</v>
      </c>
      <c r="C29" s="5" t="s">
        <v>138</v>
      </c>
      <c r="D29" s="5" t="s">
        <v>141</v>
      </c>
      <c r="E29" s="5" t="s">
        <v>143</v>
      </c>
      <c r="F29" s="5" t="s">
        <v>74</v>
      </c>
      <c r="G29" s="12">
        <v>5000000</v>
      </c>
      <c r="H29" s="12">
        <v>5000000</v>
      </c>
      <c r="I29" s="12">
        <v>5000000</v>
      </c>
      <c r="J29" s="6" t="s">
        <v>36</v>
      </c>
      <c r="K29" s="12">
        <v>5000000</v>
      </c>
      <c r="L29" s="33">
        <f t="shared" ref="L29:L35" si="1">IFERROR(I29/K29,"")</f>
        <v>1</v>
      </c>
      <c r="M29" s="6" t="s">
        <v>36</v>
      </c>
      <c r="N29" s="6" t="s">
        <v>36</v>
      </c>
      <c r="S29" s="36" t="s">
        <v>461</v>
      </c>
      <c r="T29" s="7">
        <f>COUNTA(A39:A42)</f>
        <v>4</v>
      </c>
      <c r="U29" s="37">
        <f>100%</f>
        <v>1</v>
      </c>
    </row>
    <row r="30" spans="1:21">
      <c r="A30" s="6" t="s">
        <v>159</v>
      </c>
      <c r="B30" s="5" t="s">
        <v>160</v>
      </c>
      <c r="C30" s="5" t="s">
        <v>161</v>
      </c>
      <c r="D30" s="5" t="s">
        <v>162</v>
      </c>
      <c r="E30" s="5" t="s">
        <v>163</v>
      </c>
      <c r="F30" s="5" t="s">
        <v>74</v>
      </c>
      <c r="G30" s="12">
        <v>330000</v>
      </c>
      <c r="H30" s="12">
        <v>330000</v>
      </c>
      <c r="I30" s="12">
        <v>330000</v>
      </c>
      <c r="J30" s="6" t="s">
        <v>36</v>
      </c>
      <c r="K30" s="12">
        <v>330000</v>
      </c>
      <c r="L30" s="33">
        <f t="shared" si="1"/>
        <v>1</v>
      </c>
      <c r="M30" s="6" t="s">
        <v>36</v>
      </c>
      <c r="N30" s="6" t="s">
        <v>36</v>
      </c>
      <c r="S30" s="36" t="s">
        <v>463</v>
      </c>
      <c r="T30" s="7">
        <f>COUNTIF(K39:K42, "Em execução")</f>
        <v>4</v>
      </c>
      <c r="U30" s="37">
        <f>COUNTIF(K39:K42, "Em execução") / COUNTA(K39:K42)</f>
        <v>1</v>
      </c>
    </row>
    <row r="31" spans="1:21">
      <c r="A31" s="6" t="s">
        <v>176</v>
      </c>
      <c r="B31" s="5" t="s">
        <v>114</v>
      </c>
      <c r="C31" s="5" t="s">
        <v>177</v>
      </c>
      <c r="D31" s="5" t="s">
        <v>178</v>
      </c>
      <c r="E31" s="5" t="s">
        <v>194</v>
      </c>
      <c r="F31" s="5" t="s">
        <v>74</v>
      </c>
      <c r="G31" s="12">
        <v>4000000</v>
      </c>
      <c r="H31" s="12">
        <v>4000000</v>
      </c>
      <c r="I31" s="12">
        <v>4000000</v>
      </c>
      <c r="J31" s="6" t="s">
        <v>36</v>
      </c>
      <c r="K31" s="12">
        <v>4000000</v>
      </c>
      <c r="L31" s="33">
        <f t="shared" si="1"/>
        <v>1</v>
      </c>
      <c r="M31" s="6" t="s">
        <v>36</v>
      </c>
      <c r="N31" s="6" t="s">
        <v>36</v>
      </c>
      <c r="S31" s="36" t="s">
        <v>464</v>
      </c>
      <c r="T31" s="7">
        <f>COUNTIF(K39:K42, "Paralisados")</f>
        <v>0</v>
      </c>
      <c r="U31" s="37">
        <f>COUNTIF(K39:K42, "Paralisado") / COUNTA(K39:K42)</f>
        <v>0</v>
      </c>
    </row>
    <row r="32" spans="1:21">
      <c r="A32" s="6" t="s">
        <v>210</v>
      </c>
      <c r="B32" s="5" t="s">
        <v>160</v>
      </c>
      <c r="C32" s="5" t="s">
        <v>211</v>
      </c>
      <c r="D32" s="5" t="s">
        <v>427</v>
      </c>
      <c r="E32" s="5" t="s">
        <v>213</v>
      </c>
      <c r="F32" s="5" t="s">
        <v>74</v>
      </c>
      <c r="G32" s="12">
        <v>500000</v>
      </c>
      <c r="H32" s="12">
        <v>500000</v>
      </c>
      <c r="I32" s="12">
        <v>500000</v>
      </c>
      <c r="J32" s="6" t="s">
        <v>36</v>
      </c>
      <c r="K32" s="12">
        <v>500000</v>
      </c>
      <c r="L32" s="33">
        <f t="shared" si="1"/>
        <v>1</v>
      </c>
      <c r="M32" s="6" t="s">
        <v>36</v>
      </c>
      <c r="N32" s="6" t="s">
        <v>36</v>
      </c>
      <c r="S32" s="36" t="s">
        <v>465</v>
      </c>
      <c r="T32" s="39">
        <f>SUM(G39:G42)</f>
        <v>26502240</v>
      </c>
      <c r="U32" s="37">
        <f>100%</f>
        <v>1</v>
      </c>
    </row>
    <row r="33" spans="1:27">
      <c r="A33" s="6" t="s">
        <v>227</v>
      </c>
      <c r="B33" s="5" t="s">
        <v>228</v>
      </c>
      <c r="C33" s="5" t="s">
        <v>231</v>
      </c>
      <c r="D33" s="5" t="s">
        <v>233</v>
      </c>
      <c r="E33" s="5" t="s">
        <v>235</v>
      </c>
      <c r="F33" s="5" t="s">
        <v>74</v>
      </c>
      <c r="G33" s="12">
        <v>450000</v>
      </c>
      <c r="H33" s="12">
        <v>450000</v>
      </c>
      <c r="I33" s="12">
        <v>450000</v>
      </c>
      <c r="J33" s="6" t="s">
        <v>65</v>
      </c>
      <c r="K33" s="12"/>
      <c r="L33" s="33" t="str">
        <f t="shared" si="1"/>
        <v/>
      </c>
      <c r="M33" s="6" t="s">
        <v>36</v>
      </c>
      <c r="N33" s="6" t="s">
        <v>36</v>
      </c>
      <c r="S33" s="36" t="s">
        <v>443</v>
      </c>
      <c r="T33" s="39">
        <f>SUM(I39:I42)</f>
        <v>26000000</v>
      </c>
      <c r="U33" s="37">
        <f>T33/T32</f>
        <v>0.98104914905306118</v>
      </c>
    </row>
    <row r="34" spans="1:27">
      <c r="A34" s="6" t="s">
        <v>247</v>
      </c>
      <c r="B34" s="5" t="s">
        <v>114</v>
      </c>
      <c r="C34" s="5" t="s">
        <v>249</v>
      </c>
      <c r="D34" s="5" t="s">
        <v>251</v>
      </c>
      <c r="E34" s="5" t="s">
        <v>252</v>
      </c>
      <c r="F34" s="5" t="s">
        <v>74</v>
      </c>
      <c r="G34" s="12">
        <v>450000</v>
      </c>
      <c r="H34" s="12">
        <v>450000</v>
      </c>
      <c r="I34" s="12">
        <v>450000</v>
      </c>
      <c r="J34" s="6" t="s">
        <v>36</v>
      </c>
      <c r="K34" s="12">
        <v>450000</v>
      </c>
      <c r="L34" s="33">
        <f t="shared" si="1"/>
        <v>1</v>
      </c>
      <c r="M34" s="6" t="s">
        <v>36</v>
      </c>
      <c r="N34" s="6" t="s">
        <v>36</v>
      </c>
      <c r="S34" s="36" t="s">
        <v>444</v>
      </c>
      <c r="T34" s="39">
        <f>T32-T33</f>
        <v>502240</v>
      </c>
      <c r="U34" s="37">
        <f>T34/T32</f>
        <v>1.8950850946938824E-2</v>
      </c>
      <c r="V34" s="53" t="s">
        <v>467</v>
      </c>
      <c r="W34" s="47"/>
      <c r="X34" s="47"/>
      <c r="Y34" s="47"/>
      <c r="Z34" s="47"/>
      <c r="AA34" s="48"/>
    </row>
    <row r="35" spans="1:27">
      <c r="A35" s="6" t="s">
        <v>264</v>
      </c>
      <c r="B35" s="5" t="s">
        <v>114</v>
      </c>
      <c r="C35" s="5" t="s">
        <v>265</v>
      </c>
      <c r="D35" s="5" t="s">
        <v>267</v>
      </c>
      <c r="E35" s="5" t="s">
        <v>269</v>
      </c>
      <c r="F35" s="5" t="s">
        <v>74</v>
      </c>
      <c r="G35" s="12">
        <v>400000</v>
      </c>
      <c r="H35" s="12">
        <v>400000</v>
      </c>
      <c r="I35" s="12">
        <v>400000</v>
      </c>
      <c r="J35" s="6" t="s">
        <v>36</v>
      </c>
      <c r="K35" s="12">
        <v>400000</v>
      </c>
      <c r="L35" s="33">
        <f t="shared" si="1"/>
        <v>1</v>
      </c>
      <c r="M35" s="6" t="s">
        <v>36</v>
      </c>
      <c r="N35" s="6" t="s">
        <v>36</v>
      </c>
    </row>
    <row r="38" spans="1:27">
      <c r="A38" s="2" t="s">
        <v>6</v>
      </c>
      <c r="B38" s="2" t="s">
        <v>7</v>
      </c>
      <c r="C38" s="2" t="s">
        <v>8</v>
      </c>
      <c r="D38" s="2" t="s">
        <v>10</v>
      </c>
      <c r="E38" s="2" t="s">
        <v>12</v>
      </c>
      <c r="F38" s="2" t="s">
        <v>405</v>
      </c>
      <c r="G38" s="2" t="s">
        <v>18</v>
      </c>
      <c r="H38" s="2" t="s">
        <v>20</v>
      </c>
      <c r="I38" s="2" t="s">
        <v>21</v>
      </c>
      <c r="J38" s="2" t="s">
        <v>425</v>
      </c>
      <c r="K38" s="2" t="s">
        <v>406</v>
      </c>
    </row>
    <row r="39" spans="1:27">
      <c r="A39" s="6" t="s">
        <v>408</v>
      </c>
      <c r="B39" s="5" t="s">
        <v>136</v>
      </c>
      <c r="C39" s="5" t="s">
        <v>409</v>
      </c>
      <c r="D39" s="6" t="s">
        <v>410</v>
      </c>
      <c r="E39" s="5" t="s">
        <v>74</v>
      </c>
      <c r="F39" s="12">
        <v>5000000</v>
      </c>
      <c r="G39" s="12">
        <v>5000000</v>
      </c>
      <c r="H39" s="6" t="s">
        <v>36</v>
      </c>
      <c r="I39" s="12">
        <v>5000000</v>
      </c>
      <c r="J39" s="33">
        <f t="shared" ref="J39:J42" si="2">IFERROR(I39/G39,"")</f>
        <v>1</v>
      </c>
      <c r="K39" s="5" t="s">
        <v>411</v>
      </c>
    </row>
    <row r="40" spans="1:27">
      <c r="A40" s="6" t="s">
        <v>412</v>
      </c>
      <c r="B40" s="5" t="s">
        <v>136</v>
      </c>
      <c r="C40" s="5" t="s">
        <v>413</v>
      </c>
      <c r="D40" s="6" t="s">
        <v>414</v>
      </c>
      <c r="E40" s="5" t="s">
        <v>74</v>
      </c>
      <c r="F40" s="12">
        <v>5000000</v>
      </c>
      <c r="G40" s="12">
        <v>5000000</v>
      </c>
      <c r="H40" s="6" t="s">
        <v>36</v>
      </c>
      <c r="I40" s="12">
        <v>5000000</v>
      </c>
      <c r="J40" s="33">
        <f t="shared" si="2"/>
        <v>1</v>
      </c>
      <c r="K40" s="5" t="s">
        <v>411</v>
      </c>
    </row>
    <row r="41" spans="1:27">
      <c r="A41" s="6" t="s">
        <v>415</v>
      </c>
      <c r="B41" s="5" t="s">
        <v>136</v>
      </c>
      <c r="C41" s="5" t="s">
        <v>416</v>
      </c>
      <c r="D41" s="6" t="s">
        <v>417</v>
      </c>
      <c r="E41" s="5" t="s">
        <v>74</v>
      </c>
      <c r="F41" s="12">
        <v>4002240</v>
      </c>
      <c r="G41" s="12">
        <v>4002240</v>
      </c>
      <c r="H41" s="6" t="s">
        <v>36</v>
      </c>
      <c r="I41" s="12">
        <v>3500000</v>
      </c>
      <c r="J41" s="33">
        <f t="shared" si="2"/>
        <v>0.87451027424642203</v>
      </c>
      <c r="K41" s="5" t="s">
        <v>411</v>
      </c>
    </row>
    <row r="42" spans="1:27">
      <c r="A42" s="6" t="s">
        <v>419</v>
      </c>
      <c r="B42" s="5" t="s">
        <v>160</v>
      </c>
      <c r="C42" s="5" t="s">
        <v>420</v>
      </c>
      <c r="D42" s="6" t="s">
        <v>421</v>
      </c>
      <c r="E42" s="5" t="s">
        <v>74</v>
      </c>
      <c r="F42" s="12">
        <v>12500000</v>
      </c>
      <c r="G42" s="12">
        <v>12500000</v>
      </c>
      <c r="H42" s="6" t="s">
        <v>36</v>
      </c>
      <c r="I42" s="12">
        <v>12500000</v>
      </c>
      <c r="J42" s="33">
        <f t="shared" si="2"/>
        <v>1</v>
      </c>
      <c r="K42" s="5" t="s">
        <v>411</v>
      </c>
    </row>
  </sheetData>
  <mergeCells count="4">
    <mergeCell ref="S3:U3"/>
    <mergeCell ref="S15:U15"/>
    <mergeCell ref="S27:U27"/>
    <mergeCell ref="V34:AA34"/>
  </mergeCells>
  <conditionalFormatting sqref="J2:J26 M2:N26 J28:J36 M28:N36 H38:H43 K38:K43">
    <cfRule type="containsText" dxfId="4" priority="1" operator="containsText" text="SIM">
      <formula>NOT(ISERROR(SEARCH(("SIM"),(J2))))</formula>
    </cfRule>
    <cfRule type="containsText" dxfId="3" priority="2" operator="containsText" text="NÃO">
      <formula>NOT(ISERROR(SEARCH(("NÃO"),(J2))))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24"/>
  <sheetViews>
    <sheetView workbookViewId="0"/>
  </sheetViews>
  <sheetFormatPr defaultColWidth="11.25" defaultRowHeight="15.75" customHeight="1"/>
  <cols>
    <col min="1" max="1" width="41.375" customWidth="1"/>
    <col min="3" max="3" width="17.125" customWidth="1"/>
    <col min="5" max="5" width="18.875" customWidth="1"/>
    <col min="7" max="8" width="15.75" customWidth="1"/>
    <col min="9" max="9" width="16.125" customWidth="1"/>
    <col min="10" max="10" width="11.75" customWidth="1"/>
    <col min="12" max="13" width="12.625" customWidth="1"/>
    <col min="18" max="18" width="36.5" customWidth="1"/>
    <col min="19" max="19" width="14.375" customWidth="1"/>
    <col min="20" max="20" width="12.625" customWidth="1"/>
  </cols>
  <sheetData>
    <row r="1" spans="1:20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12</v>
      </c>
      <c r="G1" s="2" t="s">
        <v>17</v>
      </c>
      <c r="H1" s="2" t="s">
        <v>423</v>
      </c>
      <c r="I1" s="2" t="s">
        <v>424</v>
      </c>
      <c r="J1" s="2" t="s">
        <v>20</v>
      </c>
      <c r="K1" s="2" t="s">
        <v>21</v>
      </c>
      <c r="L1" s="2" t="s">
        <v>434</v>
      </c>
      <c r="M1" s="2" t="s">
        <v>22</v>
      </c>
      <c r="N1" s="2" t="s">
        <v>23</v>
      </c>
    </row>
    <row r="2" spans="1:20">
      <c r="A2" s="6" t="s">
        <v>357</v>
      </c>
      <c r="B2" s="5" t="s">
        <v>228</v>
      </c>
      <c r="C2" s="5" t="s">
        <v>358</v>
      </c>
      <c r="D2" s="5" t="s">
        <v>359</v>
      </c>
      <c r="E2" s="5" t="s">
        <v>360</v>
      </c>
      <c r="F2" s="5" t="s">
        <v>63</v>
      </c>
      <c r="G2" s="10">
        <v>500000</v>
      </c>
      <c r="H2" s="10">
        <v>505000</v>
      </c>
      <c r="I2" s="10">
        <v>500000</v>
      </c>
      <c r="J2" s="6" t="s">
        <v>65</v>
      </c>
      <c r="K2" s="38"/>
      <c r="L2" s="5" t="s">
        <v>436</v>
      </c>
      <c r="M2" s="5" t="s">
        <v>437</v>
      </c>
      <c r="N2" s="5" t="s">
        <v>439</v>
      </c>
      <c r="R2" s="50" t="s">
        <v>440</v>
      </c>
      <c r="S2" s="47"/>
      <c r="T2" s="48"/>
    </row>
    <row r="3" spans="1:20">
      <c r="A3" s="6" t="s">
        <v>366</v>
      </c>
      <c r="B3" s="5" t="s">
        <v>228</v>
      </c>
      <c r="C3" s="5" t="s">
        <v>367</v>
      </c>
      <c r="D3" s="5" t="s">
        <v>368</v>
      </c>
      <c r="E3" s="5" t="s">
        <v>369</v>
      </c>
      <c r="F3" s="5" t="s">
        <v>63</v>
      </c>
      <c r="G3" s="10">
        <v>500000</v>
      </c>
      <c r="H3" s="10">
        <v>505000</v>
      </c>
      <c r="I3" s="10">
        <v>500000</v>
      </c>
      <c r="J3" s="6" t="s">
        <v>65</v>
      </c>
      <c r="K3" s="38"/>
      <c r="L3" s="5" t="s">
        <v>436</v>
      </c>
      <c r="M3" s="5" t="s">
        <v>437</v>
      </c>
      <c r="N3" s="5" t="s">
        <v>439</v>
      </c>
      <c r="R3" s="7"/>
      <c r="S3" s="35" t="s">
        <v>429</v>
      </c>
      <c r="T3" s="35" t="s">
        <v>430</v>
      </c>
    </row>
    <row r="4" spans="1:20">
      <c r="A4" s="6" t="s">
        <v>372</v>
      </c>
      <c r="B4" s="5" t="s">
        <v>105</v>
      </c>
      <c r="C4" s="5" t="s">
        <v>373</v>
      </c>
      <c r="D4" s="5" t="s">
        <v>374</v>
      </c>
      <c r="E4" s="5" t="s">
        <v>375</v>
      </c>
      <c r="F4" s="5" t="s">
        <v>63</v>
      </c>
      <c r="G4" s="10">
        <v>1000000</v>
      </c>
      <c r="H4" s="10">
        <v>1010000</v>
      </c>
      <c r="I4" s="10">
        <v>1000000</v>
      </c>
      <c r="J4" s="6" t="s">
        <v>65</v>
      </c>
      <c r="K4" s="38"/>
      <c r="L4" s="5" t="s">
        <v>436</v>
      </c>
      <c r="M4" s="5" t="s">
        <v>437</v>
      </c>
      <c r="N4" s="5" t="s">
        <v>439</v>
      </c>
      <c r="R4" s="36" t="s">
        <v>442</v>
      </c>
      <c r="S4" s="7">
        <f>COUNTA(A2:A8)</f>
        <v>7</v>
      </c>
      <c r="T4" s="37">
        <f>100%</f>
        <v>1</v>
      </c>
    </row>
    <row r="5" spans="1:20">
      <c r="A5" s="6" t="s">
        <v>380</v>
      </c>
      <c r="B5" s="5" t="s">
        <v>160</v>
      </c>
      <c r="C5" s="5" t="s">
        <v>381</v>
      </c>
      <c r="D5" s="5" t="s">
        <v>382</v>
      </c>
      <c r="E5" s="5" t="s">
        <v>383</v>
      </c>
      <c r="F5" s="5" t="s">
        <v>63</v>
      </c>
      <c r="G5" s="10">
        <v>1000000</v>
      </c>
      <c r="H5" s="10">
        <v>1010000</v>
      </c>
      <c r="I5" s="10">
        <v>1000000</v>
      </c>
      <c r="J5" s="6" t="s">
        <v>65</v>
      </c>
      <c r="K5" s="38"/>
      <c r="L5" s="5" t="s">
        <v>445</v>
      </c>
      <c r="M5" s="5" t="s">
        <v>446</v>
      </c>
      <c r="N5" s="5" t="s">
        <v>446</v>
      </c>
      <c r="R5" s="36" t="s">
        <v>447</v>
      </c>
      <c r="S5" s="7">
        <f>COUNTIF(L2:L8, "CELEBRADO")</f>
        <v>3</v>
      </c>
      <c r="T5" s="37">
        <f t="shared" ref="T5:T6" si="0">S5/S$4</f>
        <v>0.42857142857142855</v>
      </c>
    </row>
    <row r="6" spans="1:20">
      <c r="A6" s="6" t="s">
        <v>351</v>
      </c>
      <c r="B6" s="5" t="s">
        <v>29</v>
      </c>
      <c r="C6" s="5" t="s">
        <v>389</v>
      </c>
      <c r="D6" s="5" t="s">
        <v>390</v>
      </c>
      <c r="E6" s="5" t="s">
        <v>391</v>
      </c>
      <c r="F6" s="5" t="s">
        <v>34</v>
      </c>
      <c r="G6" s="10">
        <v>500000</v>
      </c>
      <c r="H6" s="10">
        <v>525000</v>
      </c>
      <c r="I6" s="10">
        <v>500000</v>
      </c>
      <c r="J6" s="6" t="s">
        <v>65</v>
      </c>
      <c r="K6" s="38"/>
      <c r="L6" s="5" t="s">
        <v>445</v>
      </c>
      <c r="M6" s="5" t="s">
        <v>446</v>
      </c>
      <c r="N6" s="5" t="s">
        <v>446</v>
      </c>
      <c r="R6" s="36" t="s">
        <v>450</v>
      </c>
      <c r="S6" s="7">
        <f>COUNTIF(L2:L8, "NÃO CELEBRADO")</f>
        <v>4</v>
      </c>
      <c r="T6" s="37">
        <f t="shared" si="0"/>
        <v>0.5714285714285714</v>
      </c>
    </row>
    <row r="7" spans="1:20">
      <c r="A7" s="6" t="s">
        <v>393</v>
      </c>
      <c r="B7" s="5" t="s">
        <v>29</v>
      </c>
      <c r="C7" s="5" t="s">
        <v>394</v>
      </c>
      <c r="D7" s="5" t="s">
        <v>395</v>
      </c>
      <c r="E7" s="5" t="s">
        <v>396</v>
      </c>
      <c r="F7" s="5" t="s">
        <v>63</v>
      </c>
      <c r="G7" s="10">
        <v>250000</v>
      </c>
      <c r="H7" s="10">
        <v>263618.48</v>
      </c>
      <c r="I7" s="10"/>
      <c r="J7" s="6" t="s">
        <v>65</v>
      </c>
      <c r="K7" s="38"/>
      <c r="L7" s="5" t="s">
        <v>445</v>
      </c>
      <c r="M7" s="5" t="s">
        <v>446</v>
      </c>
      <c r="N7" s="5" t="s">
        <v>446</v>
      </c>
      <c r="R7" s="6" t="s">
        <v>453</v>
      </c>
      <c r="S7" s="39">
        <f>SUM(G2:G8)</f>
        <v>4000000</v>
      </c>
      <c r="T7" s="37">
        <f>100%</f>
        <v>1</v>
      </c>
    </row>
    <row r="8" spans="1:20">
      <c r="A8" s="6" t="s">
        <v>400</v>
      </c>
      <c r="B8" s="5" t="s">
        <v>29</v>
      </c>
      <c r="C8" s="5"/>
      <c r="D8" s="5" t="s">
        <v>401</v>
      </c>
      <c r="E8" s="5"/>
      <c r="F8" s="5" t="s">
        <v>63</v>
      </c>
      <c r="G8" s="10">
        <v>250000</v>
      </c>
      <c r="H8" s="10">
        <v>251000</v>
      </c>
      <c r="I8" s="10"/>
      <c r="J8" s="6" t="s">
        <v>65</v>
      </c>
      <c r="K8" s="38"/>
      <c r="L8" s="5" t="s">
        <v>445</v>
      </c>
      <c r="M8" s="5" t="s">
        <v>446</v>
      </c>
      <c r="N8" s="5" t="s">
        <v>446</v>
      </c>
      <c r="R8" s="36" t="s">
        <v>441</v>
      </c>
      <c r="S8" s="39">
        <f>SUM(I2:I8)</f>
        <v>3500000</v>
      </c>
      <c r="T8" s="37">
        <f>S8/S7</f>
        <v>0.875</v>
      </c>
    </row>
    <row r="9" spans="1:20">
      <c r="G9" s="40">
        <f t="shared" ref="G9:I9" si="1">SUM(G2:G8)</f>
        <v>4000000</v>
      </c>
      <c r="H9" s="40">
        <f t="shared" si="1"/>
        <v>4069618.48</v>
      </c>
      <c r="I9" s="40">
        <f t="shared" si="1"/>
        <v>3500000</v>
      </c>
      <c r="R9" s="36" t="s">
        <v>456</v>
      </c>
      <c r="S9" s="39">
        <f>S7-S8</f>
        <v>500000</v>
      </c>
      <c r="T9" s="41">
        <f>S9/S7</f>
        <v>0.125</v>
      </c>
    </row>
    <row r="10" spans="1:20">
      <c r="R10" s="36" t="s">
        <v>443</v>
      </c>
      <c r="S10" s="39">
        <f>SUM(K2:K8)</f>
        <v>0</v>
      </c>
      <c r="T10" s="41">
        <f>S10/S7</f>
        <v>0</v>
      </c>
    </row>
    <row r="11" spans="1:20">
      <c r="R11" s="36" t="s">
        <v>444</v>
      </c>
      <c r="S11" s="39">
        <f>S8</f>
        <v>3500000</v>
      </c>
      <c r="T11" s="37">
        <f>S11/S7</f>
        <v>0.875</v>
      </c>
    </row>
    <row r="12" spans="1:20">
      <c r="A12" s="2" t="s">
        <v>6</v>
      </c>
      <c r="B12" s="2" t="s">
        <v>7</v>
      </c>
      <c r="C12" s="2" t="s">
        <v>8</v>
      </c>
      <c r="D12" s="2" t="s">
        <v>9</v>
      </c>
      <c r="E12" s="2" t="s">
        <v>10</v>
      </c>
      <c r="F12" s="2" t="s">
        <v>12</v>
      </c>
      <c r="G12" s="2" t="s">
        <v>17</v>
      </c>
      <c r="H12" s="2" t="s">
        <v>18</v>
      </c>
      <c r="I12" s="2" t="s">
        <v>19</v>
      </c>
      <c r="J12" s="2" t="s">
        <v>20</v>
      </c>
      <c r="K12" s="2" t="s">
        <v>21</v>
      </c>
      <c r="L12" s="2" t="s">
        <v>434</v>
      </c>
      <c r="M12" s="2" t="s">
        <v>79</v>
      </c>
      <c r="N12" s="2" t="s">
        <v>23</v>
      </c>
    </row>
    <row r="13" spans="1:20">
      <c r="A13" s="6" t="s">
        <v>283</v>
      </c>
      <c r="B13" s="5" t="s">
        <v>114</v>
      </c>
      <c r="C13" s="5" t="s">
        <v>458</v>
      </c>
      <c r="D13" s="5" t="s">
        <v>285</v>
      </c>
      <c r="E13" s="5"/>
      <c r="F13" s="5" t="s">
        <v>74</v>
      </c>
      <c r="G13" s="12">
        <v>2500000</v>
      </c>
      <c r="H13" s="12">
        <v>2500000</v>
      </c>
      <c r="I13" s="12"/>
      <c r="J13" s="6" t="s">
        <v>65</v>
      </c>
      <c r="K13" s="12"/>
      <c r="L13" s="5" t="s">
        <v>445</v>
      </c>
      <c r="M13" s="5" t="s">
        <v>446</v>
      </c>
      <c r="N13" s="5" t="s">
        <v>446</v>
      </c>
    </row>
    <row r="14" spans="1:20">
      <c r="A14" s="6" t="s">
        <v>308</v>
      </c>
      <c r="B14" s="5" t="s">
        <v>309</v>
      </c>
      <c r="C14" s="5" t="s">
        <v>310</v>
      </c>
      <c r="D14" s="5" t="s">
        <v>311</v>
      </c>
      <c r="E14" s="5" t="s">
        <v>312</v>
      </c>
      <c r="F14" s="5" t="s">
        <v>74</v>
      </c>
      <c r="G14" s="12">
        <v>2500000</v>
      </c>
      <c r="H14" s="12">
        <v>2500000</v>
      </c>
      <c r="I14" s="12">
        <v>2500000</v>
      </c>
      <c r="J14" s="6" t="s">
        <v>65</v>
      </c>
      <c r="K14" s="12"/>
      <c r="L14" s="5" t="s">
        <v>445</v>
      </c>
      <c r="M14" s="5" t="s">
        <v>446</v>
      </c>
      <c r="N14" s="5" t="s">
        <v>446</v>
      </c>
      <c r="R14" s="51" t="s">
        <v>460</v>
      </c>
      <c r="S14" s="47"/>
      <c r="T14" s="48"/>
    </row>
    <row r="15" spans="1:20">
      <c r="A15" s="6" t="s">
        <v>326</v>
      </c>
      <c r="B15" s="5" t="s">
        <v>114</v>
      </c>
      <c r="C15" s="5" t="s">
        <v>327</v>
      </c>
      <c r="D15" s="5" t="s">
        <v>328</v>
      </c>
      <c r="E15" s="5" t="s">
        <v>330</v>
      </c>
      <c r="F15" s="5" t="s">
        <v>34</v>
      </c>
      <c r="G15" s="12">
        <v>250000</v>
      </c>
      <c r="H15" s="12">
        <v>250000</v>
      </c>
      <c r="I15" s="12">
        <v>250000</v>
      </c>
      <c r="J15" s="6" t="s">
        <v>65</v>
      </c>
      <c r="K15" s="12"/>
      <c r="L15" s="5" t="s">
        <v>445</v>
      </c>
      <c r="M15" s="5" t="s">
        <v>446</v>
      </c>
      <c r="N15" s="5" t="s">
        <v>446</v>
      </c>
      <c r="R15" s="45"/>
      <c r="S15" s="45"/>
      <c r="T15" s="45"/>
    </row>
    <row r="16" spans="1:20">
      <c r="A16" s="6" t="s">
        <v>342</v>
      </c>
      <c r="B16" s="5" t="s">
        <v>114</v>
      </c>
      <c r="C16" s="5" t="s">
        <v>344</v>
      </c>
      <c r="D16" s="5" t="s">
        <v>345</v>
      </c>
      <c r="E16" s="5" t="s">
        <v>347</v>
      </c>
      <c r="F16" s="5" t="s">
        <v>34</v>
      </c>
      <c r="G16" s="12">
        <v>500000</v>
      </c>
      <c r="H16" s="12">
        <v>500000</v>
      </c>
      <c r="I16" s="12"/>
      <c r="J16" s="6" t="s">
        <v>65</v>
      </c>
      <c r="K16" s="12"/>
      <c r="L16" s="5" t="s">
        <v>445</v>
      </c>
      <c r="M16" s="5" t="s">
        <v>446</v>
      </c>
      <c r="N16" s="5" t="s">
        <v>446</v>
      </c>
      <c r="R16" s="36"/>
      <c r="S16" s="35" t="s">
        <v>429</v>
      </c>
      <c r="T16" s="35" t="s">
        <v>430</v>
      </c>
    </row>
    <row r="17" spans="7:26">
      <c r="G17" s="40">
        <f t="shared" ref="G17:I17" si="2">SUM(G13:G16)</f>
        <v>5750000</v>
      </c>
      <c r="H17" s="40">
        <f t="shared" si="2"/>
        <v>5750000</v>
      </c>
      <c r="I17" s="40">
        <f t="shared" si="2"/>
        <v>2750000</v>
      </c>
      <c r="R17" s="36" t="s">
        <v>462</v>
      </c>
      <c r="S17" s="7">
        <f>COUNTA(A13:A16)</f>
        <v>4</v>
      </c>
      <c r="T17" s="37">
        <f>100%</f>
        <v>1</v>
      </c>
    </row>
    <row r="18" spans="7:26">
      <c r="R18" s="36" t="s">
        <v>447</v>
      </c>
      <c r="S18" s="7">
        <f>COUNTIF(L13:L16, "CELEBRADO")</f>
        <v>0</v>
      </c>
      <c r="T18" s="37">
        <f t="shared" ref="T18:T19" si="3">S18/S$17</f>
        <v>0</v>
      </c>
      <c r="U18" s="54"/>
      <c r="V18" s="54"/>
      <c r="W18" s="54"/>
      <c r="X18" s="54"/>
      <c r="Y18" s="54"/>
      <c r="Z18" s="54"/>
    </row>
    <row r="19" spans="7:26">
      <c r="P19" s="13" t="s">
        <v>466</v>
      </c>
      <c r="R19" s="36" t="s">
        <v>450</v>
      </c>
      <c r="S19" s="7">
        <f>COUNTIF(L13:L16, "NÃO CELEBRADO")</f>
        <v>4</v>
      </c>
      <c r="T19" s="37">
        <f t="shared" si="3"/>
        <v>1</v>
      </c>
    </row>
    <row r="20" spans="7:26">
      <c r="R20" s="6" t="s">
        <v>453</v>
      </c>
      <c r="S20" s="39">
        <f>SUM(G13:G16)</f>
        <v>5750000</v>
      </c>
      <c r="T20" s="37">
        <f>100%</f>
        <v>1</v>
      </c>
    </row>
    <row r="21" spans="7:26">
      <c r="R21" s="36" t="s">
        <v>441</v>
      </c>
      <c r="S21" s="39">
        <f>SUM(I13:I16)</f>
        <v>2750000</v>
      </c>
      <c r="T21" s="37">
        <f>S21/S20</f>
        <v>0.47826086956521741</v>
      </c>
    </row>
    <row r="22" spans="7:26">
      <c r="R22" s="36" t="s">
        <v>456</v>
      </c>
      <c r="S22" s="39">
        <f>S20-S21</f>
        <v>3000000</v>
      </c>
      <c r="T22" s="37">
        <f>S22/S20</f>
        <v>0.52173913043478259</v>
      </c>
    </row>
    <row r="23" spans="7:26">
      <c r="R23" s="36" t="s">
        <v>443</v>
      </c>
      <c r="S23" s="39">
        <f>SUM(K13:K16)</f>
        <v>0</v>
      </c>
      <c r="T23" s="37">
        <f>S23/S20</f>
        <v>0</v>
      </c>
    </row>
    <row r="24" spans="7:26">
      <c r="R24" s="36" t="s">
        <v>444</v>
      </c>
      <c r="S24" s="39">
        <f>S21</f>
        <v>2750000</v>
      </c>
      <c r="T24" s="37">
        <f>S24/S20</f>
        <v>0.47826086956521741</v>
      </c>
    </row>
  </sheetData>
  <mergeCells count="3">
    <mergeCell ref="R2:T2"/>
    <mergeCell ref="R14:T14"/>
    <mergeCell ref="U18:Z18"/>
  </mergeCells>
  <conditionalFormatting sqref="J2:N8 J10:J16 L10:N16">
    <cfRule type="containsText" dxfId="2" priority="1" operator="containsText" text="SIM">
      <formula>NOT(ISERROR(SEARCH(("SIM"),(J2))))</formula>
    </cfRule>
    <cfRule type="containsText" dxfId="1" priority="2" operator="containsText" text="NÃO">
      <formula>NOT(ISERROR(SEARCH(("NÃO"),(J2))))</formula>
    </cfRule>
  </conditionalFormatting>
  <conditionalFormatting sqref="L2:L8 L12:L16">
    <cfRule type="containsText" dxfId="0" priority="3" operator="containsText" text="CELEBRADO">
      <formula>NOT(ISERROR(SEARCH(("CELEBRADO"),(L2))))</formula>
    </cfRule>
  </conditionalFormatting>
  <printOptions horizontalCentered="1"/>
  <pageMargins left="0.25" right="0.25" top="0.75" bottom="0.75" header="0" footer="0"/>
  <pageSetup paperSize="9" pageOrder="overThenDown" orientation="landscape"/>
  <rowBreaks count="1" manualBreakCount="1">
    <brk id="17" man="1"/>
  </rowBreaks>
  <colBreaks count="2" manualBreakCount="2">
    <brk man="1"/>
    <brk id="1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C22"/>
  <sheetViews>
    <sheetView workbookViewId="0"/>
  </sheetViews>
  <sheetFormatPr defaultColWidth="11.25" defaultRowHeight="15.75" customHeight="1"/>
  <cols>
    <col min="1" max="1" width="36.25" customWidth="1"/>
    <col min="2" max="2" width="14.375" customWidth="1"/>
    <col min="3" max="3" width="9.75" customWidth="1"/>
  </cols>
  <sheetData>
    <row r="1" spans="1:3">
      <c r="A1" s="50" t="s">
        <v>440</v>
      </c>
      <c r="B1" s="47"/>
      <c r="C1" s="48"/>
    </row>
    <row r="2" spans="1:3">
      <c r="A2" s="7"/>
      <c r="B2" s="35" t="s">
        <v>429</v>
      </c>
      <c r="C2" s="35" t="s">
        <v>430</v>
      </c>
    </row>
    <row r="3" spans="1:3">
      <c r="A3" s="36" t="s">
        <v>442</v>
      </c>
      <c r="B3" s="7">
        <f>COUNTA('Instrumentos Celebrados - 2026'!A2:A8)</f>
        <v>7</v>
      </c>
      <c r="C3" s="37">
        <f>100%</f>
        <v>1</v>
      </c>
    </row>
    <row r="4" spans="1:3">
      <c r="A4" s="36" t="s">
        <v>447</v>
      </c>
      <c r="B4" s="7">
        <f>COUNTIF('Instrumentos Celebrados - 2026'!L2:L8, "CELEBRADO")</f>
        <v>3</v>
      </c>
      <c r="C4" s="37">
        <f>B4/B3</f>
        <v>0.42857142857142855</v>
      </c>
    </row>
    <row r="5" spans="1:3">
      <c r="A5" s="36" t="s">
        <v>450</v>
      </c>
      <c r="B5" s="7">
        <f>COUNTIF('Instrumentos Celebrados - 2026'!L2:L8, "NÃO CELEBRADO")</f>
        <v>4</v>
      </c>
      <c r="C5" s="37">
        <f>B5/B3</f>
        <v>0.5714285714285714</v>
      </c>
    </row>
    <row r="6" spans="1:3">
      <c r="A6" s="6" t="s">
        <v>453</v>
      </c>
      <c r="B6" s="39">
        <f>SUM('Instrumentos Celebrados - 2026'!G2:G8)</f>
        <v>4000000</v>
      </c>
      <c r="C6" s="37">
        <f>100%</f>
        <v>1</v>
      </c>
    </row>
    <row r="7" spans="1:3">
      <c r="A7" s="36" t="s">
        <v>441</v>
      </c>
      <c r="B7" s="39">
        <f>SUM('Instrumentos Celebrados - 2026'!I2:I8)</f>
        <v>3500000</v>
      </c>
      <c r="C7" s="37">
        <f>B7/B6</f>
        <v>0.875</v>
      </c>
    </row>
    <row r="8" spans="1:3">
      <c r="A8" s="36" t="s">
        <v>456</v>
      </c>
      <c r="B8" s="39">
        <f>B6-B7</f>
        <v>500000</v>
      </c>
      <c r="C8" s="41">
        <f>B8/B6</f>
        <v>0.125</v>
      </c>
    </row>
    <row r="9" spans="1:3">
      <c r="A9" s="36" t="s">
        <v>443</v>
      </c>
      <c r="B9" s="39">
        <f>SUM('Instrumentos Celebrados - 2026'!K2:K8)</f>
        <v>0</v>
      </c>
      <c r="C9" s="41">
        <f>B9/B6</f>
        <v>0</v>
      </c>
    </row>
    <row r="10" spans="1:3">
      <c r="A10" s="36" t="s">
        <v>444</v>
      </c>
      <c r="B10" s="39">
        <f>B7</f>
        <v>3500000</v>
      </c>
      <c r="C10" s="37">
        <f>B10/B6</f>
        <v>0.875</v>
      </c>
    </row>
    <row r="13" spans="1:3">
      <c r="A13" s="51" t="s">
        <v>460</v>
      </c>
      <c r="B13" s="47"/>
      <c r="C13" s="48"/>
    </row>
    <row r="14" spans="1:3">
      <c r="A14" s="36"/>
      <c r="B14" s="35" t="s">
        <v>429</v>
      </c>
      <c r="C14" s="35" t="s">
        <v>430</v>
      </c>
    </row>
    <row r="15" spans="1:3">
      <c r="A15" s="36" t="s">
        <v>462</v>
      </c>
      <c r="B15" s="7">
        <f>COUNTA('Instrumentos Celebrados - 2026'!A13:A16)</f>
        <v>4</v>
      </c>
      <c r="C15" s="37">
        <f>100%</f>
        <v>1</v>
      </c>
    </row>
    <row r="16" spans="1:3">
      <c r="A16" s="36" t="s">
        <v>447</v>
      </c>
      <c r="B16" s="7">
        <f>COUNTIF('Instrumentos Celebrados - 2026'!L13:L16, "CELEBRADO")</f>
        <v>0</v>
      </c>
      <c r="C16" s="37">
        <f>B16/B15</f>
        <v>0</v>
      </c>
    </row>
    <row r="17" spans="1:3">
      <c r="A17" s="36" t="s">
        <v>450</v>
      </c>
      <c r="B17" s="7">
        <f>COUNTIF('Instrumentos Celebrados - 2026'!L13:L16, "NÃO CELEBRADO")</f>
        <v>4</v>
      </c>
      <c r="C17" s="37">
        <f>B17/B15</f>
        <v>1</v>
      </c>
    </row>
    <row r="18" spans="1:3">
      <c r="A18" s="6" t="s">
        <v>453</v>
      </c>
      <c r="B18" s="39">
        <f>SUM('Instrumentos Celebrados - 2026'!G13:G16)</f>
        <v>5750000</v>
      </c>
      <c r="C18" s="37">
        <f>100%</f>
        <v>1</v>
      </c>
    </row>
    <row r="19" spans="1:3">
      <c r="A19" s="36" t="s">
        <v>441</v>
      </c>
      <c r="B19" s="39">
        <f>SUM('Instrumentos Celebrados - 2026'!I13:I15)</f>
        <v>2750000</v>
      </c>
      <c r="C19" s="37">
        <f>B19/B18</f>
        <v>0.47826086956521741</v>
      </c>
    </row>
    <row r="20" spans="1:3">
      <c r="A20" s="36" t="s">
        <v>456</v>
      </c>
      <c r="B20" s="39">
        <f>B18-B19</f>
        <v>3000000</v>
      </c>
      <c r="C20" s="37">
        <f>B20/B18</f>
        <v>0.52173913043478259</v>
      </c>
    </row>
    <row r="21" spans="1:3">
      <c r="A21" s="36" t="s">
        <v>443</v>
      </c>
      <c r="B21" s="39">
        <f>SUM('Instrumentos Celebrados - 2026'!K13:K16)</f>
        <v>0</v>
      </c>
      <c r="C21" s="37">
        <f>B21/B18</f>
        <v>0</v>
      </c>
    </row>
    <row r="22" spans="1:3">
      <c r="A22" s="36" t="s">
        <v>444</v>
      </c>
      <c r="B22" s="39">
        <f>B19</f>
        <v>2750000</v>
      </c>
      <c r="C22" s="37">
        <f>B22/B18</f>
        <v>0.47826086956521741</v>
      </c>
    </row>
  </sheetData>
  <mergeCells count="2">
    <mergeCell ref="A1:C1"/>
    <mergeCell ref="A13:C13"/>
  </mergeCells>
  <printOptions horizontalCentered="1"/>
  <pageMargins left="0.25" right="0.25" top="0.75" bottom="0.75" header="0" footer="0"/>
  <pageSetup paperSize="9" fitToHeight="0" pageOrder="overThenDown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8"/>
  <sheetViews>
    <sheetView workbookViewId="0"/>
  </sheetViews>
  <sheetFormatPr defaultColWidth="11.25" defaultRowHeight="15.75" customHeight="1"/>
  <cols>
    <col min="2" max="2" width="15.5" customWidth="1"/>
  </cols>
  <sheetData>
    <row r="1" spans="1:2">
      <c r="A1" s="42" t="s">
        <v>5</v>
      </c>
      <c r="B1" s="42" t="s">
        <v>459</v>
      </c>
    </row>
    <row r="2" spans="1:2">
      <c r="A2" s="43">
        <v>2026</v>
      </c>
      <c r="B2" s="44">
        <v>100000000</v>
      </c>
    </row>
    <row r="3" spans="1:2">
      <c r="A3" s="20"/>
    </row>
    <row r="4" spans="1:2">
      <c r="A4" s="20"/>
    </row>
    <row r="5" spans="1:2">
      <c r="A5" s="20"/>
    </row>
    <row r="6" spans="1:2">
      <c r="A6" s="20"/>
    </row>
    <row r="7" spans="1:2">
      <c r="A7" s="20"/>
    </row>
    <row r="8" spans="1:2">
      <c r="A8" s="20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C7"/>
  <sheetViews>
    <sheetView showGridLines="0" workbookViewId="0"/>
  </sheetViews>
  <sheetFormatPr defaultColWidth="11.25" defaultRowHeight="15.75" customHeight="1"/>
  <cols>
    <col min="1" max="1" width="44.25" customWidth="1"/>
    <col min="2" max="2" width="13.25" customWidth="1"/>
    <col min="3" max="3" width="19.75" customWidth="1"/>
  </cols>
  <sheetData>
    <row r="1" spans="1:3">
      <c r="A1" s="55"/>
      <c r="B1" s="56" t="s">
        <v>468</v>
      </c>
      <c r="C1" s="57"/>
    </row>
    <row r="2" spans="1:3">
      <c r="A2" s="56" t="s">
        <v>6</v>
      </c>
      <c r="B2" s="55" t="s">
        <v>18</v>
      </c>
      <c r="C2" s="58" t="s">
        <v>21</v>
      </c>
    </row>
    <row r="3" spans="1:3">
      <c r="A3" s="55" t="s">
        <v>419</v>
      </c>
      <c r="B3" s="59">
        <v>12500000</v>
      </c>
      <c r="C3" s="60">
        <v>12500000</v>
      </c>
    </row>
    <row r="4" spans="1:3">
      <c r="A4" s="61" t="s">
        <v>408</v>
      </c>
      <c r="B4" s="62">
        <v>5000000</v>
      </c>
      <c r="C4" s="63">
        <v>5000000</v>
      </c>
    </row>
    <row r="5" spans="1:3">
      <c r="A5" s="61" t="s">
        <v>412</v>
      </c>
      <c r="B5" s="62">
        <v>5000000</v>
      </c>
      <c r="C5" s="63">
        <v>5000000</v>
      </c>
    </row>
    <row r="6" spans="1:3">
      <c r="A6" s="61" t="s">
        <v>415</v>
      </c>
      <c r="B6" s="62">
        <v>4002240</v>
      </c>
      <c r="C6" s="63">
        <v>3500000</v>
      </c>
    </row>
    <row r="7" spans="1:3" ht="15.75" customHeight="1">
      <c r="A7" s="64" t="s">
        <v>469</v>
      </c>
      <c r="B7" s="65">
        <v>26502240</v>
      </c>
      <c r="C7" s="66">
        <v>26000000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Convênios</vt:lpstr>
      <vt:lpstr>Resumo de Convênios</vt:lpstr>
      <vt:lpstr>Termo de Fomento</vt:lpstr>
      <vt:lpstr>Resumo de Fomentos</vt:lpstr>
      <vt:lpstr>TED</vt:lpstr>
      <vt:lpstr>Valores ja Repassados</vt:lpstr>
      <vt:lpstr>Resumo de Instrumentos Celebrad</vt:lpstr>
      <vt:lpstr>Instrumentos Celebrados - 2026</vt:lpstr>
      <vt:lpstr>Resumo dos Instrumentos Celebra</vt:lpstr>
      <vt:lpstr>Orçamento MTur</vt:lpstr>
      <vt:lpstr>Tabela dinâmica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Ronaldy Luiz Ferreira dos Santos</dc:creator>
  <cp:lastModifiedBy>Ronaldy Luiz Ferreira dos Santos</cp:lastModifiedBy>
  <dcterms:created xsi:type="dcterms:W3CDTF">2026-10-13T15:00:51Z</dcterms:created>
  <dcterms:modified xsi:type="dcterms:W3CDTF">2026-10-13T15:00:52Z</dcterms:modified>
</cp:coreProperties>
</file>