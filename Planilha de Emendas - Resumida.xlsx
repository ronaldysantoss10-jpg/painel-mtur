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Cursos - situação\"/>
    </mc:Choice>
  </mc:AlternateContent>
  <xr:revisionPtr revIDLastSave="0" documentId="8_{FB58272A-7DA1-4350-90F6-16013574BA1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vênios" sheetId="1" r:id="rId1"/>
    <sheet name="Resumo de Convênios" sheetId="2" r:id="rId2"/>
    <sheet name="Termo de Fomento" sheetId="3" r:id="rId3"/>
    <sheet name="Resumo de Fomentos" sheetId="4" r:id="rId4"/>
    <sheet name="TED" sheetId="5" r:id="rId5"/>
    <sheet name="Valores ja Repassados" sheetId="6" r:id="rId6"/>
    <sheet name="Resumo de Instrumentos Celebrad" sheetId="7" r:id="rId7"/>
    <sheet name="Instrumentos Celebrados - 2026" sheetId="8" r:id="rId8"/>
    <sheet name="Resumo dos Instrumentos Celebra" sheetId="9" r:id="rId9"/>
    <sheet name="Orçamento MTur" sheetId="10" r:id="rId10"/>
    <sheet name="Tabela dinâmica 1" sheetId="11" state="hidden" r:id="rId11"/>
  </sheets>
  <definedNames>
    <definedName name="_xlnm._FilterDatabase" localSheetId="1" hidden="1">'Resumo de Convênios'!$A$1:$G$34</definedName>
    <definedName name="_xlnm._FilterDatabase" localSheetId="4" hidden="1">TED!$A$2:$O$6</definedName>
    <definedName name="_xlnm._FilterDatabase" localSheetId="2" hidden="1">'Termo de Fomento'!$A$2:$U$14</definedName>
  </definedNames>
  <calcPr calcId="191029"/>
  <pivotCaches>
    <pivotCache cacheId="13" r:id="rId12"/>
    <pivotCache cacheId="21" r:id="rId13"/>
    <pivotCache cacheId="27" r:id="rId14"/>
    <pivotCache cacheId="34" r:id="rId15"/>
    <pivotCache cacheId="41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C21" i="9" s="1"/>
  <c r="B19" i="9"/>
  <c r="C18" i="9"/>
  <c r="B18" i="9"/>
  <c r="B20" i="9" s="1"/>
  <c r="C20" i="9" s="1"/>
  <c r="B17" i="9"/>
  <c r="C17" i="9" s="1"/>
  <c r="B16" i="9"/>
  <c r="C16" i="9" s="1"/>
  <c r="C15" i="9"/>
  <c r="B15" i="9"/>
  <c r="B9" i="9"/>
  <c r="C9" i="9" s="1"/>
  <c r="B7" i="9"/>
  <c r="C6" i="9"/>
  <c r="B6" i="9"/>
  <c r="B8" i="9" s="1"/>
  <c r="C8" i="9" s="1"/>
  <c r="B5" i="9"/>
  <c r="C5" i="9" s="1"/>
  <c r="B4" i="9"/>
  <c r="C4" i="9" s="1"/>
  <c r="C3" i="9"/>
  <c r="B3" i="9"/>
  <c r="S23" i="8"/>
  <c r="T23" i="8" s="1"/>
  <c r="S21" i="8"/>
  <c r="T20" i="8"/>
  <c r="S20" i="8"/>
  <c r="S22" i="8" s="1"/>
  <c r="T22" i="8" s="1"/>
  <c r="S19" i="8"/>
  <c r="T19" i="8" s="1"/>
  <c r="S18" i="8"/>
  <c r="T18" i="8" s="1"/>
  <c r="I18" i="8"/>
  <c r="H18" i="8"/>
  <c r="G18" i="8"/>
  <c r="T17" i="8"/>
  <c r="S17" i="8"/>
  <c r="S10" i="8"/>
  <c r="T10" i="8" s="1"/>
  <c r="I10" i="8"/>
  <c r="H10" i="8"/>
  <c r="G10" i="8"/>
  <c r="S8" i="8"/>
  <c r="T7" i="8"/>
  <c r="S7" i="8"/>
  <c r="S6" i="8"/>
  <c r="T6" i="8" s="1"/>
  <c r="S5" i="8"/>
  <c r="T5" i="8" s="1"/>
  <c r="T4" i="8"/>
  <c r="S4" i="8"/>
  <c r="J42" i="7"/>
  <c r="J41" i="7"/>
  <c r="J40" i="7"/>
  <c r="J39" i="7"/>
  <c r="L35" i="7"/>
  <c r="T34" i="7"/>
  <c r="U34" i="7" s="1"/>
  <c r="L34" i="7"/>
  <c r="T33" i="7"/>
  <c r="U33" i="7" s="1"/>
  <c r="L33" i="7"/>
  <c r="U32" i="7"/>
  <c r="T32" i="7"/>
  <c r="L32" i="7"/>
  <c r="U31" i="7"/>
  <c r="T31" i="7"/>
  <c r="L31" i="7"/>
  <c r="U30" i="7"/>
  <c r="T30" i="7"/>
  <c r="L30" i="7"/>
  <c r="U29" i="7"/>
  <c r="T29" i="7"/>
  <c r="L29" i="7"/>
  <c r="L25" i="7"/>
  <c r="L24" i="7"/>
  <c r="T23" i="7"/>
  <c r="U23" i="7" s="1"/>
  <c r="L23" i="7"/>
  <c r="U22" i="7"/>
  <c r="T22" i="7"/>
  <c r="T24" i="7" s="1"/>
  <c r="U24" i="7" s="1"/>
  <c r="L22" i="7"/>
  <c r="U21" i="7"/>
  <c r="T21" i="7"/>
  <c r="L21" i="7"/>
  <c r="U20" i="7"/>
  <c r="T20" i="7"/>
  <c r="L20" i="7"/>
  <c r="U19" i="7"/>
  <c r="T19" i="7"/>
  <c r="L19" i="7"/>
  <c r="U18" i="7"/>
  <c r="T18" i="7"/>
  <c r="L18" i="7"/>
  <c r="U17" i="7"/>
  <c r="T17" i="7"/>
  <c r="L17" i="7"/>
  <c r="L16" i="7"/>
  <c r="L15" i="7"/>
  <c r="L14" i="7"/>
  <c r="L13" i="7"/>
  <c r="T12" i="7"/>
  <c r="U12" i="7" s="1"/>
  <c r="L12" i="7"/>
  <c r="U11" i="7"/>
  <c r="T11" i="7"/>
  <c r="L11" i="7"/>
  <c r="U10" i="7"/>
  <c r="T10" i="7"/>
  <c r="L10" i="7"/>
  <c r="U9" i="7"/>
  <c r="T9" i="7"/>
  <c r="L9" i="7"/>
  <c r="U8" i="7"/>
  <c r="T8" i="7"/>
  <c r="L8" i="7"/>
  <c r="U7" i="7"/>
  <c r="T7" i="7"/>
  <c r="L7" i="7"/>
  <c r="U6" i="7"/>
  <c r="T6" i="7"/>
  <c r="L6" i="7"/>
  <c r="U5" i="7"/>
  <c r="T5" i="7"/>
  <c r="L5" i="7"/>
  <c r="L4" i="7"/>
  <c r="L3" i="7"/>
  <c r="L2" i="7"/>
  <c r="B22" i="9" l="1"/>
  <c r="C22" i="9" s="1"/>
  <c r="C19" i="9"/>
  <c r="B10" i="9"/>
  <c r="C10" i="9" s="1"/>
  <c r="C7" i="9"/>
  <c r="S24" i="8"/>
  <c r="T24" i="8" s="1"/>
  <c r="T21" i="8"/>
  <c r="S11" i="8"/>
  <c r="T11" i="8" s="1"/>
  <c r="S9" i="8"/>
  <c r="T9" i="8" s="1"/>
  <c r="T8" i="8"/>
</calcChain>
</file>

<file path=xl/sharedStrings.xml><?xml version="1.0" encoding="utf-8"?>
<sst xmlns="http://schemas.openxmlformats.org/spreadsheetml/2006/main" count="1937" uniqueCount="514">
  <si>
    <t>Dados Básicos do Instrumento</t>
  </si>
  <si>
    <t>Situação do Repasse Financeiro</t>
  </si>
  <si>
    <t>Status da Cláusula Suspensiva e Aditivo</t>
  </si>
  <si>
    <t>Categorização de Motivos</t>
  </si>
  <si>
    <t>Contatos</t>
  </si>
  <si>
    <t>Ano</t>
  </si>
  <si>
    <t>Nome do proponente</t>
  </si>
  <si>
    <t>UF do Proponente</t>
  </si>
  <si>
    <t>Cidade Sede</t>
  </si>
  <si>
    <t>Instrumento</t>
  </si>
  <si>
    <t>Número da Proposta</t>
  </si>
  <si>
    <t>Número do processo SEI</t>
  </si>
  <si>
    <t>Status das Ressalvas e Aditivo</t>
  </si>
  <si>
    <t>Objeto</t>
  </si>
  <si>
    <t>Modalidade</t>
  </si>
  <si>
    <t>Código do Programa</t>
  </si>
  <si>
    <t>Parlamentar Solicitante</t>
  </si>
  <si>
    <t>Data Início de Vigência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</si>
  <si>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</si>
  <si>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</si>
  <si>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</si>
  <si>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</si>
  <si>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</si>
  <si>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</si>
  <si>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 Cláusula Suspensiva?</t>
  </si>
  <si>
    <t>Termo Aditivo Assinado?</t>
  </si>
  <si>
    <t>Motivo da Permanência na Cláusula Suspensiva</t>
  </si>
  <si>
    <t>Telefone</t>
  </si>
  <si>
    <t>E-mail</t>
  </si>
  <si>
    <t>Data do Repasse</t>
  </si>
  <si>
    <t>Secretaria Estadual de Turismo do Rio Grande do Norte  (SETUR-RN)</t>
  </si>
  <si>
    <t>RN</t>
  </si>
  <si>
    <t>Natal</t>
  </si>
  <si>
    <t>Convênio nº 970061/2024</t>
  </si>
  <si>
    <t>005283/2024</t>
  </si>
  <si>
    <t>72031.002432/2024-84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</si>
  <si>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</si>
  <si>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RP6</t>
  </si>
  <si>
    <t>Fernando Mineiro</t>
  </si>
  <si>
    <t>Saiu das Ressalvas?</t>
  </si>
  <si>
    <t>Motivo da Permanência nas Ressalvas</t>
  </si>
  <si>
    <t>SIM</t>
  </si>
  <si>
    <t>Associação Brasileira da Indústria de Hotéis do Rio Grande do Norte - ABIH/RN</t>
  </si>
  <si>
    <t>Termo de Fomento nº 971418/2024</t>
  </si>
  <si>
    <t>035534/2024</t>
  </si>
  <si>
    <t>72031.009417/2024-67</t>
  </si>
  <si>
    <t>(84) 98113-2313</t>
  </si>
  <si>
    <t>kalinesetur@gmail.com ; seturqualificacão@gmail.com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</si>
  <si>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</si>
  <si>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>Serviço Nacional de Aprendizagem Comercial do Rio Grande do Norte (SENAC-RN)</t>
  </si>
  <si>
    <t>Convênio nº 970093/2024</t>
  </si>
  <si>
    <t>006142/2024</t>
  </si>
  <si>
    <t>72031.002426/2024-27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</si>
  <si>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</si>
  <si>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>Rogério Marinho</t>
  </si>
  <si>
    <t>(84) 99152-8548</t>
  </si>
  <si>
    <t>IgorG@rn.senac.br</t>
  </si>
  <si>
    <t>SERVICO DE APOIO AS MICRO E PEQUENAS EMPRESAS DE SE (SEBRAE)</t>
  </si>
  <si>
    <t>SE</t>
  </si>
  <si>
    <t>Aracaju</t>
  </si>
  <si>
    <t>Convênio nº 970062/2024</t>
  </si>
  <si>
    <t>001673/2024</t>
  </si>
  <si>
    <t>72031.002433/2024-29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</si>
  <si>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</si>
  <si>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Yandra Moura</t>
  </si>
  <si>
    <t>(79) 9633-9585</t>
  </si>
  <si>
    <t>direx@se.sebrae.com.br</t>
  </si>
  <si>
    <t>SECRETARIA DE ESTADO DE TURISMO (SETUR-PA)</t>
  </si>
  <si>
    <t>PA</t>
  </si>
  <si>
    <t>Belém</t>
  </si>
  <si>
    <t>Convênio nº 969365/2024</t>
  </si>
  <si>
    <t>024089/2024</t>
  </si>
  <si>
    <t>72031.007271/2023-34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</si>
  <si>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</si>
  <si>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>RP2</t>
  </si>
  <si>
    <t>MINISTRO</t>
  </si>
  <si>
    <t>NÃO</t>
  </si>
  <si>
    <t>(91) 9275-0780</t>
  </si>
  <si>
    <t>raylime.costa@setur.pa.gov.br</t>
  </si>
  <si>
    <t>MUNICIPIO DE WENCESLAU GUIMARAES</t>
  </si>
  <si>
    <t>BA</t>
  </si>
  <si>
    <t>Wenceslau Guimarães</t>
  </si>
  <si>
    <t>Convênio nº 982062/2025</t>
  </si>
  <si>
    <t>044302/2025</t>
  </si>
  <si>
    <t>72031.007745/2025-18</t>
  </si>
  <si>
    <t>Implementação do Projeto Esporte Transformando Vidas, no Município de Wenceslau Guimarães-BA.</t>
  </si>
  <si>
    <t>NT E TA EM ANALISE ALDO</t>
  </si>
  <si>
    <t>RP8</t>
  </si>
  <si>
    <t>Dal Barreto</t>
  </si>
  <si>
    <t>(84) 99211-4315
(84) 3202-2746</t>
  </si>
  <si>
    <t>presidencia@abihrn.com.br</t>
  </si>
  <si>
    <t>INSTITUTO NACIONAL DE PARCERIAS PUBLICAS - INPP</t>
  </si>
  <si>
    <t>DF</t>
  </si>
  <si>
    <t>NÃO FEZ O ENVIO DA PLANILHA E NEM DO TR ATUALIZADO</t>
  </si>
  <si>
    <t>Brasília</t>
  </si>
  <si>
    <t>(73) 99979-4436</t>
  </si>
  <si>
    <t>gabrielandrade_gomes@hotmail.com</t>
  </si>
  <si>
    <t>Termo de Fomento nº 988679/2025</t>
  </si>
  <si>
    <t>065987/2025</t>
  </si>
  <si>
    <t>MUNICIPIO DE PORANGATU</t>
  </si>
  <si>
    <t>GO</t>
  </si>
  <si>
    <t>72031.011036/2025-29</t>
  </si>
  <si>
    <t>Porangatu</t>
  </si>
  <si>
    <t>Convênio nº 981938/2025</t>
  </si>
  <si>
    <t>Realização do projeto Qualifica Turismo</t>
  </si>
  <si>
    <t>045921/2025</t>
  </si>
  <si>
    <t>72031.007744/2025-65</t>
  </si>
  <si>
    <t>Realização de cursos e oficinas de qualificação profissional voltados a prestadores de serviços turísticos no município de Porangatu-Go.</t>
  </si>
  <si>
    <t>José Nelto</t>
  </si>
  <si>
    <t>Doutor Luizinho</t>
  </si>
  <si>
    <t xml:space="preserve">THIAGO ESTÁ ANALISANDO </t>
  </si>
  <si>
    <t>(62) 99314-8683</t>
  </si>
  <si>
    <t>conveniosporangatu2021@gmail.com</t>
  </si>
  <si>
    <t>MUNICIPIO DE NATAL</t>
  </si>
  <si>
    <t>Convênio nº 988080/2025</t>
  </si>
  <si>
    <t>065869/2025</t>
  </si>
  <si>
    <t>72031.010978/2025-90</t>
  </si>
  <si>
    <t>Execução de ações de qualificação profissional no setor turistico de Natal, por meio de cursos e capacitações</t>
  </si>
  <si>
    <t>Pedro Lucas Fernandes</t>
  </si>
  <si>
    <t>(61) 99870-3785</t>
  </si>
  <si>
    <t>institutoinppsocial@gmail.com</t>
  </si>
  <si>
    <t>INSTITUTO SOCIAL DE CAPELANIA EDUCACIONAL E CULTURAL DO MARANHAO ISCEC MA</t>
  </si>
  <si>
    <t>(84) 3232-4907</t>
  </si>
  <si>
    <t>MA</t>
  </si>
  <si>
    <t>gestores.sempla@natal.rn.gov.br</t>
  </si>
  <si>
    <t>São Luiz</t>
  </si>
  <si>
    <t>Termo de Fomento nº 988537/2025</t>
  </si>
  <si>
    <t>MUNICÍPIO DO CONDE</t>
  </si>
  <si>
    <t>PB</t>
  </si>
  <si>
    <t>065935/2025</t>
  </si>
  <si>
    <t>Conde</t>
  </si>
  <si>
    <t>Convênio nº 982177/2025</t>
  </si>
  <si>
    <t>72031.011033/2025-95</t>
  </si>
  <si>
    <t>058187/2025</t>
  </si>
  <si>
    <t>72031.009014/2025-07</t>
  </si>
  <si>
    <t>Realização de Cursos de Qualificação voltados a prestadores de serviços turísticos.</t>
  </si>
  <si>
    <t>Realização de cursos de qualificação profissional voltados a prestadores de serviços turísticos.</t>
  </si>
  <si>
    <t>Cabo Gilberto Silva</t>
  </si>
  <si>
    <t>(83) 99649-0180</t>
  </si>
  <si>
    <t>gabinetedaprefeita@conde.pb.gov.br</t>
  </si>
  <si>
    <t xml:space="preserve">MUNICIPIO DE TRAJANO DE MORAIS </t>
  </si>
  <si>
    <t>RJ</t>
  </si>
  <si>
    <t>Trajano de Moraes</t>
  </si>
  <si>
    <t>Convênio nº 981834/2025</t>
  </si>
  <si>
    <t>046999/2025</t>
  </si>
  <si>
    <t>72031.007737/2025-63</t>
  </si>
  <si>
    <t>(98) 98809-1276</t>
  </si>
  <si>
    <t>Dani Cunha</t>
  </si>
  <si>
    <t>iscecma2025@gmail.com</t>
  </si>
  <si>
    <t>INSTITUTO CONEXAO</t>
  </si>
  <si>
    <t>Rio de Janeiro</t>
  </si>
  <si>
    <t>Termo de Fomento nº 987800/2025</t>
  </si>
  <si>
    <t>Data Término de Vigência</t>
  </si>
  <si>
    <t>(22) 2564-1115</t>
  </si>
  <si>
    <t>065398/2025</t>
  </si>
  <si>
    <t>gmc@trajanodemoraes.rj.gov.br</t>
  </si>
  <si>
    <t>72031.010787/2025-28</t>
  </si>
  <si>
    <t>Implementação do Projeto Rio Destino 360 no Estado do Rio de Janeiro.</t>
  </si>
  <si>
    <t>MUNICIPIO DE CAPELA</t>
  </si>
  <si>
    <t>Capela</t>
  </si>
  <si>
    <t>Convênio nº 981970/2025</t>
  </si>
  <si>
    <t>053406/2025</t>
  </si>
  <si>
    <t>Otoni de Paula</t>
  </si>
  <si>
    <t>72031.007719/2025-81</t>
  </si>
  <si>
    <t>Realização de cursos de qualificação profissional voltados a prestadores de serviços turísticos, no município de Capela/SE.</t>
  </si>
  <si>
    <t>Pedro Lucas Fernandes/Dep Yandra</t>
  </si>
  <si>
    <t>TIAGO MENDES ESTÁ ANALISANDO</t>
  </si>
  <si>
    <t>(79) 99889-8295</t>
  </si>
  <si>
    <t>gabinete@capela.se.gov.br</t>
  </si>
  <si>
    <t>SECRETARIA DO DESENVOLVIMENTO ECONOMICO -  Luzilândia/PI</t>
  </si>
  <si>
    <t>PI</t>
  </si>
  <si>
    <t>Teresina</t>
  </si>
  <si>
    <t xml:space="preserve">(21) 97523-6226
(21) 983418620 </t>
  </si>
  <si>
    <t>Convênio nº 981840/2025</t>
  </si>
  <si>
    <t>055620/2025</t>
  </si>
  <si>
    <t>institutoconexaooficial@gmail.com</t>
  </si>
  <si>
    <t>72031.008914/2025-29</t>
  </si>
  <si>
    <t>Realização de Cursos de Qualificação Profissional Voltados a Prestadores de Serviços Turísticos no Município de Luzilândia – PI.</t>
  </si>
  <si>
    <t>Florentino Neto</t>
  </si>
  <si>
    <t>INSTITUTO RESGATE ONG ESCOLA VOLUNTARIA AGRICOLA</t>
  </si>
  <si>
    <t>Penalva</t>
  </si>
  <si>
    <t>Termo de Fomento nº 981884/2025</t>
  </si>
  <si>
    <t>057787/2025</t>
  </si>
  <si>
    <t>72031.008882/2025-61</t>
  </si>
  <si>
    <t>(86) 98858-1816</t>
  </si>
  <si>
    <t>Realização de Cursos de Qualificação Profissional voltados a prestadores de serviços dos setores turísticos do Estado do Maranhão.</t>
  </si>
  <si>
    <t>sde@sde.pi.gov.br</t>
  </si>
  <si>
    <t>ESTADO DO ACRE</t>
  </si>
  <si>
    <t>AC</t>
  </si>
  <si>
    <t>Rio Branco</t>
  </si>
  <si>
    <t>Convênio nº 984749/2025</t>
  </si>
  <si>
    <t>062060/2025</t>
  </si>
  <si>
    <t>72031.009977/2025-01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</si>
  <si>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</si>
  <si>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Eduardo Velloso</t>
  </si>
  <si>
    <t>Empresa Estadual de Turismo do Amazonas</t>
  </si>
  <si>
    <t>(98) 98250-4907</t>
  </si>
  <si>
    <t>institutoresgateong@gmail.com</t>
  </si>
  <si>
    <t>Convênio nº 981882/2025</t>
  </si>
  <si>
    <t>(22) 99738-1433</t>
  </si>
  <si>
    <t>aldelice.souza@ac.gov.br</t>
  </si>
  <si>
    <t>MUNICÍPIO DE ITALVA</t>
  </si>
  <si>
    <t>INSTITUTO FUTURE DE JUVENTUDE PROMOÇÃO TURISMO</t>
  </si>
  <si>
    <t>Italva</t>
  </si>
  <si>
    <t>CE</t>
  </si>
  <si>
    <t>Convênio nº 982182/2025</t>
  </si>
  <si>
    <t>058330/2025</t>
  </si>
  <si>
    <t>Fortaleza</t>
  </si>
  <si>
    <t>72031.009016/2025-98</t>
  </si>
  <si>
    <t>Realização de cursos de qualificação profissional voltados aos prestadores de serviços turísticos no Município de Italva/RJ.</t>
  </si>
  <si>
    <t>Termo de Fomento nº 982190/2025</t>
  </si>
  <si>
    <t>048761/2025</t>
  </si>
  <si>
    <t>Marcos Soares</t>
  </si>
  <si>
    <t>72031.007746/2025-54</t>
  </si>
  <si>
    <t>Realizar a qualificação para os profissionais da área de turismo de eventos</t>
  </si>
  <si>
    <t>Dayany Bittencourt</t>
  </si>
  <si>
    <t>con.conveniositalva@gmail.com</t>
  </si>
  <si>
    <t>MUNICIPIO DE CAREIRO</t>
  </si>
  <si>
    <t>AM</t>
  </si>
  <si>
    <t>Careiro</t>
  </si>
  <si>
    <t>Convênio nº 982173/2025</t>
  </si>
  <si>
    <t>046967/2025</t>
  </si>
  <si>
    <t>72031.007739/2025-52</t>
  </si>
  <si>
    <t>Realização de cursos de qualificação profissional voltados a prestadores de serviços turísticos do município de Careiro/AM.</t>
  </si>
  <si>
    <t>Pauderney Avelino</t>
  </si>
  <si>
    <t>Convênio nº 981733/2025</t>
  </si>
  <si>
    <t>MUNICIPIO DE CANINDE DE SAO FRANCISCO</t>
  </si>
  <si>
    <t>(92) 99344-9190</t>
  </si>
  <si>
    <t>pref.careiro@hotmail.com</t>
  </si>
  <si>
    <t>(85) 3034-7974</t>
  </si>
  <si>
    <t>institutofuture@gmail.com; edna.c.v@gmail.com ou  financeiro.instituto01@gmail.com</t>
  </si>
  <si>
    <t>MUNICIPIO DE TIBAU DO SUL</t>
  </si>
  <si>
    <t>Tibau do Sul</t>
  </si>
  <si>
    <t>Convênio nº 981972/2025</t>
  </si>
  <si>
    <t>048276/2025</t>
  </si>
  <si>
    <t>72031.007727/2025-28</t>
  </si>
  <si>
    <t>PROMOVER A QUALIFICAÇÃO PROFISSIONAL NO MUNICÍPIO DE TIBAU DO SUL-RN</t>
  </si>
  <si>
    <t>FUNDACAO WALL FERRAZ</t>
  </si>
  <si>
    <t>INSTITUTO SOMAR SOLUÇÃO BRASIL</t>
  </si>
  <si>
    <t>Convênio nº 981951/2025</t>
  </si>
  <si>
    <t>Benes Leocádio</t>
  </si>
  <si>
    <t>Termo de Fomento nº 981981/2025</t>
  </si>
  <si>
    <t>047523/2025</t>
  </si>
  <si>
    <t>Convênio nº 981837/2025</t>
  </si>
  <si>
    <t>72031.007747/2025-07</t>
  </si>
  <si>
    <t>SECRETARIA DO DESENVOLVIMENTO ECONOMICO - Teresina/PI</t>
  </si>
  <si>
    <t>(84) 98839-0730</t>
  </si>
  <si>
    <t>seturtibaudosul@gmail.com</t>
  </si>
  <si>
    <t>MUNICIPIO DE NILOPOLIS</t>
  </si>
  <si>
    <t>Nilópolis</t>
  </si>
  <si>
    <t>Convênio nº 982154/2025</t>
  </si>
  <si>
    <t>048504/2025</t>
  </si>
  <si>
    <t>Convênio nº 981838/2025</t>
  </si>
  <si>
    <t>72031.007723/2025-40</t>
  </si>
  <si>
    <t>SECRETARIA DO DESENVOLVIMENTO ECONOMICO - Parnaíba/PI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</si>
  <si>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</si>
  <si>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Ricardo Abrão</t>
  </si>
  <si>
    <t>(22) 99765-0323</t>
  </si>
  <si>
    <t>abraaodavid@nilopolis.rj.gov.br</t>
  </si>
  <si>
    <t>Murillo Gouvea</t>
  </si>
  <si>
    <t>Canindé de São Francisco</t>
  </si>
  <si>
    <t>048648/2025</t>
  </si>
  <si>
    <t>72031.007722/2025-03</t>
  </si>
  <si>
    <t>Realização de cursos de qualificação profissional voltados a prestadores de serviços turísticos, com foco em hospitalidade, atendimento, sustentabilidade e inclusão.</t>
  </si>
  <si>
    <t>MUNICIPIO DE GUARAREMA - CGTURES</t>
  </si>
  <si>
    <t>Convênio nº 982171/2025</t>
  </si>
  <si>
    <t>CGUTRES TA FAZENDO O TERMO  ADITIVO</t>
  </si>
  <si>
    <t>(79) 9922-1220</t>
  </si>
  <si>
    <t>randerson@caninde.se.gov.br</t>
  </si>
  <si>
    <t>Convênio nº 981933/2025</t>
  </si>
  <si>
    <t>SECRETARIA DE ESTADO DE ASSISTENCIA SOCIAL,TRABALHO,EMPREGO E RENDA (SEASTER-PA)</t>
  </si>
  <si>
    <t>MUNICIPIO DE SOBRAL</t>
  </si>
  <si>
    <t>MUNICIPIO DE IAÇU</t>
  </si>
  <si>
    <t>Convênio nº 982032/2025</t>
  </si>
  <si>
    <t>(21) 99759-8450</t>
  </si>
  <si>
    <t>Sobral</t>
  </si>
  <si>
    <t>Convênio nº 982143/2025</t>
  </si>
  <si>
    <t>056109/2025</t>
  </si>
  <si>
    <t>72031.008756/2025-15</t>
  </si>
  <si>
    <t xml:space="preserve">Realizar cursos de qualificação profissional voltados a prestadores de serviços turísticos em Sobral - CE </t>
  </si>
  <si>
    <t>Moses Rodrigues</t>
  </si>
  <si>
    <t>diretoriaexecutiva.somar@gmail.com
coordenacaoinstitutosomar@gmail.com</t>
  </si>
  <si>
    <t>ASSOCIAÇÃO CONSTRUIR DE ASSISTENCIA SOCIAL</t>
  </si>
  <si>
    <t>Termo de Fomento nº 982185/2025</t>
  </si>
  <si>
    <t>(88)99618-2204</t>
  </si>
  <si>
    <t>carlosamaral@sobral.ce.gov.br</t>
  </si>
  <si>
    <t>045968/2025</t>
  </si>
  <si>
    <t>72031.007749/2025-98</t>
  </si>
  <si>
    <t>Convênio nº 982074/2025</t>
  </si>
  <si>
    <t>Realização de cursos de qualificação profissional voltados a prestadores de serviços turísticos nos municípios de Guapimirim e Búzios – RJ.</t>
  </si>
  <si>
    <t>047412/2025</t>
  </si>
  <si>
    <t>72031.007733/2025-85</t>
  </si>
  <si>
    <t>Realização de cursos de qualificação profissional voltados à cadeia produtiva do turismo de Sobral - CE.</t>
  </si>
  <si>
    <t>Juninho do Pneu</t>
  </si>
  <si>
    <t>(21) 98134-9150
(21) 98206-2395</t>
  </si>
  <si>
    <t xml:space="preserve">TA PUBLICADO </t>
  </si>
  <si>
    <t>(88) 3677-1100
(88)99618-2204</t>
  </si>
  <si>
    <t>borgesadvogadosbr@gmail.com</t>
  </si>
  <si>
    <t>Iaçu</t>
  </si>
  <si>
    <t>048766/2025</t>
  </si>
  <si>
    <t>72031.007721/2025-51</t>
  </si>
  <si>
    <t>LIGA BRASILEIRA DE CLUBES DE BOXE</t>
  </si>
  <si>
    <t>(75) 98238-4540</t>
  </si>
  <si>
    <t>gabineteiacu21@gmail.com</t>
  </si>
  <si>
    <t>Saquarema</t>
  </si>
  <si>
    <t>055573/2025</t>
  </si>
  <si>
    <t>72031.008918/2025-15</t>
  </si>
  <si>
    <t>Realização de Cursos de Qualificação Profissional Voltados a Prestadores de Serviços Turísticos no Município de Teresina – PI.</t>
  </si>
  <si>
    <t>026743/2026</t>
  </si>
  <si>
    <t>72031.007306/2026-88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</si>
  <si>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</si>
  <si>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Convênio nº 982176/2025</t>
  </si>
  <si>
    <t>046938/2025</t>
  </si>
  <si>
    <t>DR. Flavio Campos Ferreira</t>
  </si>
  <si>
    <t>72031.007587/2025-98</t>
  </si>
  <si>
    <t>Realização de cursos de qualificação profissional para prestadores de serviços turísticos no Estado do Pará.</t>
  </si>
  <si>
    <t>IMPEDIMENTO TÉCNICO</t>
  </si>
  <si>
    <t>(61) 99214-3725</t>
  </si>
  <si>
    <t>Fauziprojetos@gmail.com</t>
  </si>
  <si>
    <t>Manaus</t>
  </si>
  <si>
    <t>ADEMINAS AGENCIA DE DESENVOLVIMENTO ECONOMICO E SOCIAL DO ESTADO DE MINAS GERAIS</t>
  </si>
  <si>
    <t>048072/2025</t>
  </si>
  <si>
    <t>72031.007729/2025-17</t>
  </si>
  <si>
    <t>MG</t>
  </si>
  <si>
    <t>Realização de cursos de qualificação profissional voltados a gestores públicos, trabalhadores e gestores do setor turístico.</t>
  </si>
  <si>
    <t>Araguari</t>
  </si>
  <si>
    <t>Termo de Fomento nº 7AAAJN/2026</t>
  </si>
  <si>
    <t>Fausto Santos Jr.</t>
  </si>
  <si>
    <t>027839/2026</t>
  </si>
  <si>
    <t>72031.005809/2026-19</t>
  </si>
  <si>
    <t>Zé Vitor</t>
  </si>
  <si>
    <t xml:space="preserve">(92) 98112-0362 </t>
  </si>
  <si>
    <t>convenios@amazonastur.am.gov.br</t>
  </si>
  <si>
    <t>055597/2025</t>
  </si>
  <si>
    <t>72031.008917/2025-62</t>
  </si>
  <si>
    <t>Realização de Cursos de Qualificação Profissional Voltados a Prestadores de Serviços Turísticos no Município de Parnaíba – PI.</t>
  </si>
  <si>
    <t xml:space="preserve">pedir para ajustarem o atestado de capacidade tecnica </t>
  </si>
  <si>
    <t>(34) 99953-3941</t>
  </si>
  <si>
    <t>atendimento@ademinas.com.br</t>
  </si>
  <si>
    <t>ABRASOCIAL ASSOCIACAO BRASILEIRA SERVICOS SOCIAIS - CGTURES</t>
  </si>
  <si>
    <t>Termo de Fomento nº 999084/2026</t>
  </si>
  <si>
    <t>011309/2026</t>
  </si>
  <si>
    <t>72031.005102/2026-11</t>
  </si>
  <si>
    <t>IMPLEMENTAÇÃO DE PROGRAMA DE QUALIFICAÇÃO PROFISSIONAL AOS PROFISSIONAIS DE ATENDIMENTO DO RIO DE JANEIRO</t>
  </si>
  <si>
    <t>Marcelo Crivella</t>
  </si>
  <si>
    <t>058243/2025</t>
  </si>
  <si>
    <t>72031.008951/2025-37</t>
  </si>
  <si>
    <t>Teresina Cidade Verde: qualificar e capacitar para conectar e fortalecer as rotas turísticas</t>
  </si>
  <si>
    <t>Julio Arcoverde</t>
  </si>
  <si>
    <t>Em Complementação</t>
  </si>
  <si>
    <t>(21) 97928-6967</t>
  </si>
  <si>
    <t>clmreis.2023@gmail.com</t>
  </si>
  <si>
    <t>INSTITUTO SOMAR SOLUÇAO BRASIL</t>
  </si>
  <si>
    <t>(86) 99576-3845</t>
  </si>
  <si>
    <t>fwf@pmt.pi.gov.br</t>
  </si>
  <si>
    <t>Termo de Fomento nº 7AAEOA/2026</t>
  </si>
  <si>
    <t>031236/2026</t>
  </si>
  <si>
    <t>72031.007850/2026-20</t>
  </si>
  <si>
    <t>48483/2025</t>
  </si>
  <si>
    <t>72031.007724/2025-94</t>
  </si>
  <si>
    <t>Dilvanda Faro</t>
  </si>
  <si>
    <t>Enviado para analise</t>
  </si>
  <si>
    <t>(94) 9134-9966</t>
  </si>
  <si>
    <t>seasterpa@yahoo.com.br</t>
  </si>
  <si>
    <t xml:space="preserve"> SP</t>
  </si>
  <si>
    <t>Guararema</t>
  </si>
  <si>
    <t>047176/2025</t>
  </si>
  <si>
    <t>72031.007735/2025-74</t>
  </si>
  <si>
    <t>Elaboração de Projeto Piloto de Adaptação do Turismo às Mudanças Climáticas em Guararema-SP.</t>
  </si>
  <si>
    <t>Deputado Federal David Soares</t>
  </si>
  <si>
    <t>(11) 4693-8000</t>
  </si>
  <si>
    <t>claudia.borges@guararema.sp.gov.br</t>
  </si>
  <si>
    <t>SERVICO NACIONAL DE APRENDIZAGEM COMERCIAL - SENAC - AR/RN</t>
  </si>
  <si>
    <t>Convênio nº 978164/2025</t>
  </si>
  <si>
    <t>026461/2025</t>
  </si>
  <si>
    <t>72031.004919/2025-82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</si>
  <si>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</si>
  <si>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 xml:space="preserve"> (84) 99152-8548</t>
  </si>
  <si>
    <t>MUNICIPIO DE MARTINOPOLE</t>
  </si>
  <si>
    <t>Martinopole</t>
  </si>
  <si>
    <t>Convênio nº 994695/2026</t>
  </si>
  <si>
    <t>016094/2026</t>
  </si>
  <si>
    <t>72031.003111/2026-69</t>
  </si>
  <si>
    <t>Realização de cursos de qualificação profissional voltados a cadeia produtiva do turismo de Martinópole</t>
  </si>
  <si>
    <t>EM EXECUÇÃO</t>
  </si>
  <si>
    <t xml:space="preserve">Falta contrapartida e processo licitatório </t>
  </si>
  <si>
    <t>(88) 3627-1300</t>
  </si>
  <si>
    <t>pmmartinopole@gmail.com</t>
  </si>
  <si>
    <t>MUNICIPIO DE UMIRIM</t>
  </si>
  <si>
    <t>Umirim</t>
  </si>
  <si>
    <t>Convênio nº 994697/2026</t>
  </si>
  <si>
    <t>016277/2026</t>
  </si>
  <si>
    <t>72031.003167/2026-13</t>
  </si>
  <si>
    <t xml:space="preserve"> MUNICIPIO DE OLHO D'AGUA DO CASADO</t>
  </si>
  <si>
    <t>(85) 99807-5926</t>
  </si>
  <si>
    <t>prefeitura.umirim@yahoo.com</t>
  </si>
  <si>
    <t>SECRETARIA DE ESTADO DO TURISMO E DO DESENVOLVIMENTO ECONOMICO - Paraiba/PB</t>
  </si>
  <si>
    <t xml:space="preserve">pedimos complementação pacote formalização </t>
  </si>
  <si>
    <t>João Pessoa</t>
  </si>
  <si>
    <t>Convênio nº 994933/2026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</si>
  <si>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</si>
  <si>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</si>
  <si>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</si>
  <si>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Convênio nº 7AAAMY/2026</t>
  </si>
  <si>
    <t xml:space="preserve">ESTADO DO MARANHÃO - SECRETARIA DE ESTADO DO DESENVOLVIMENTO SOCIAL </t>
  </si>
  <si>
    <t>Convênio nº 7AABQQ/2026</t>
  </si>
  <si>
    <t>Não apresentaram o processo licitatório</t>
  </si>
  <si>
    <t>(83) 99140-2899</t>
  </si>
  <si>
    <t>rosalia.lucas@setde.pb.gov.br</t>
  </si>
  <si>
    <t>Apresentarem documentos na aba anexos</t>
  </si>
  <si>
    <t>São Luís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</si>
  <si>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</si>
  <si>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</si>
  <si>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</si>
  <si>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</si>
  <si>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>MUNICÍPIO DE BAIA FORMOSA</t>
  </si>
  <si>
    <t>(98) 2016-9200</t>
  </si>
  <si>
    <t>gabsedes.ma@gmail.com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</si>
  <si>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</si>
  <si>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</si>
  <si>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</si>
  <si>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Convênio nº 7AADYR/2026</t>
  </si>
  <si>
    <t>MUNICIPIO DE NISIA FLORESTA</t>
  </si>
  <si>
    <t>MUNICIPIO DE CAJUEIRO</t>
  </si>
  <si>
    <t>Nísia Floresta</t>
  </si>
  <si>
    <t>026609/2026</t>
  </si>
  <si>
    <t>72031.007272/2026-21</t>
  </si>
  <si>
    <t>Capacitação e Qualificação para o setor de Turismo em Nísia Floresta/RN</t>
  </si>
  <si>
    <t>(84) 98167-7071</t>
  </si>
  <si>
    <t>prefeito@nisiafloresta.rn.gov.br</t>
  </si>
  <si>
    <t>Baía Formosa</t>
  </si>
  <si>
    <t>034396/2026</t>
  </si>
  <si>
    <t>72031.008655/2026-17</t>
  </si>
  <si>
    <t>AL</t>
  </si>
  <si>
    <t>Olho D'Agua Do Casado</t>
  </si>
  <si>
    <t>037153/2026</t>
  </si>
  <si>
    <t>72031.009606/2026-00</t>
  </si>
  <si>
    <t>MUNICIPIO DE SÃO MIGUEL DOS CAMPOS</t>
  </si>
  <si>
    <t>Cajueiro</t>
  </si>
  <si>
    <t>037443/2026</t>
  </si>
  <si>
    <t>São Miguel Dos Campos</t>
  </si>
  <si>
    <t>037734/2026</t>
  </si>
  <si>
    <t>CADASTRADO</t>
  </si>
  <si>
    <t>Status</t>
  </si>
  <si>
    <t>Valor Total do Plano de Ação</t>
  </si>
  <si>
    <t>Situação</t>
  </si>
  <si>
    <t>Observações</t>
  </si>
  <si>
    <t>INSTITUTO FEDERAL DO PIAUÍ - IFPI</t>
  </si>
  <si>
    <t xml:space="preserve"> TED nº  987841/2025</t>
  </si>
  <si>
    <t>72031.009540/2025-69</t>
  </si>
  <si>
    <t>Em execução</t>
  </si>
  <si>
    <t>INSTITUTO FEDERAL DO PIAUÍ - IFPI (CGST)</t>
  </si>
  <si>
    <t xml:space="preserve"> TED nº 990795/2025</t>
  </si>
  <si>
    <t>72031.011729/2025-11</t>
  </si>
  <si>
    <t>Universidade Federal de Brasília - UnB</t>
  </si>
  <si>
    <t xml:space="preserve"> TED nº 985434/2025</t>
  </si>
  <si>
    <t>72031.003454/2025-42</t>
  </si>
  <si>
    <t>Saldo de R$ 502.240,00 aguardando indicação de recurso</t>
  </si>
  <si>
    <t>Instituto Federal de Educação, Ciência e Tecnologia do Maranhão - IFMA</t>
  </si>
  <si>
    <t xml:space="preserve"> TED nº 988799/2025</t>
  </si>
  <si>
    <t>72031.009969/2025-56</t>
  </si>
  <si>
    <t>SECRETARIA DE ESTADO DE TURISMO</t>
  </si>
  <si>
    <t>SECRETARIA DE ESTADO DE ASSISTENCIA SOCIAL,TRABALHO,EMPREGO E RENDA</t>
  </si>
  <si>
    <t xml:space="preserve"> 057787/2025</t>
  </si>
  <si>
    <t>Valor Global - VALOR MTUR + CONTRAPARTIDA</t>
  </si>
  <si>
    <t>Valor do Empenho - REPASSE MTUR</t>
  </si>
  <si>
    <t>% Valor já repassado</t>
  </si>
  <si>
    <t>Celebrado?</t>
  </si>
  <si>
    <t>CELEBRADO</t>
  </si>
  <si>
    <t>sem clausula suspensiva</t>
  </si>
  <si>
    <t>sem aditivo</t>
  </si>
  <si>
    <t>Resumo de Convênios - 2025</t>
  </si>
  <si>
    <t>Resumo de Convênios - 2026</t>
  </si>
  <si>
    <t>Quantitativo</t>
  </si>
  <si>
    <t>Percentual</t>
  </si>
  <si>
    <t>Quantitativo de Convênios  2026</t>
  </si>
  <si>
    <t>Quantitativo de Convênios Celebrados 2025</t>
  </si>
  <si>
    <t>NÃO CELEBRADO</t>
  </si>
  <si>
    <t>-</t>
  </si>
  <si>
    <t>Celebrado em 2026</t>
  </si>
  <si>
    <t>Saiu da Cláusula Suspensiva</t>
  </si>
  <si>
    <t>Pendente de Celebração em 2026</t>
  </si>
  <si>
    <t>Está na Cláusula Suspensiva</t>
  </si>
  <si>
    <t>Valor total Comprometido (Empenhado+Não Empenhado)</t>
  </si>
  <si>
    <t>Termo Aditivo Assinado</t>
  </si>
  <si>
    <t>Valor total Empenhado</t>
  </si>
  <si>
    <t>Valor a Empenhar</t>
  </si>
  <si>
    <t>Termo Aditivo não Assinado</t>
  </si>
  <si>
    <t>Valor total de Repasse (MTur)</t>
  </si>
  <si>
    <t>Total empenhado mas não repassado</t>
  </si>
  <si>
    <t>Termo de Fomento s/n</t>
  </si>
  <si>
    <t>Resumo de Termos de Fomento - 2026</t>
  </si>
  <si>
    <t>Quantitativo de Fomentos  2026</t>
  </si>
  <si>
    <t>Convênio nº 982074/2025</t>
  </si>
  <si>
    <t>Resumo de Termos de Fomento - 2025</t>
  </si>
  <si>
    <t xml:space="preserve"> </t>
  </si>
  <si>
    <t>Convênio nº 982143/2025</t>
  </si>
  <si>
    <t>Quantitativo de Fomentos Celebrados 2025</t>
  </si>
  <si>
    <t>Saiu das Ressalvas</t>
  </si>
  <si>
    <t>Não Saiu das Ressalvas</t>
  </si>
  <si>
    <t>Resumo de TEDs - 2025</t>
  </si>
  <si>
    <t>Quantitativo de Teds Celebrados 2025</t>
  </si>
  <si>
    <t>TEDs em Execução</t>
  </si>
  <si>
    <t>TEDs Paralisados</t>
  </si>
  <si>
    <t>Total celebrado empenhado</t>
  </si>
  <si>
    <t>A diferença de R$ 502.240,00 (1,90%) corresponde ao valor empenhado do TED nº 985434/2025 com a Universidade Federal de Brasília - UnB, esta aguardando indicação de recurso</t>
  </si>
  <si>
    <t>INSTITUTO FEDERAL DO PIAUÍ</t>
  </si>
  <si>
    <t>INSTITUTO FEDERAL DO PIAUÍ - CGST</t>
  </si>
  <si>
    <t>Universidade Federal de Brasília</t>
  </si>
  <si>
    <t>Instituto Federal de Educação, Ciência e Tecnologia do Maranhão</t>
  </si>
  <si>
    <t>Valor</t>
  </si>
  <si>
    <t/>
  </si>
  <si>
    <t>Total Geral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</si>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</sst>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([$R$ -416]* #,##0.00_);_([$R$ -416]* \(#,##0.00\);_([$R$ -416]* &quot;-&quot;??_);_(@_)"/>
    <numFmt numFmtId="166" formatCode="#,##0.00;\(#,##0.00\)"/>
  </numFmts>
  <fonts count="13">
    <font>
      <sz val="10"/>
      <color rgb="FF000000"/>
      <name val="Verdana"/>
      <scheme val="minor"/>
    </font>
    <font>
      <b/>
      <sz val="10"/>
      <color rgb="FF000000"/>
      <name val="Verdana"/>
      <scheme val="minor"/>
    </font>
    <font>
      <sz val="10"/>
      <name val="Verdana"/>
    </font>
    <font>
      <b/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</font>
    <font>
      <sz val="11"/>
      <color theme="1"/>
      <name val="Verdana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1"/>
      <color rgb="FFFFFFFF"/>
      <name val="Verdana"/>
      <scheme val="minor"/>
    </font>
    <font>
      <b/>
      <sz val="10"/>
      <color rgb="FFFFFFFF"/>
      <name val="&quot;Google Sans Text&quot;"/>
    </font>
    <font>
      <sz val="10"/>
      <color theme="1"/>
      <name val="&quot;Google Sans Text&quot;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7F6000"/>
        <bgColor rgb="FF7F6000"/>
      </patternFill>
    </fill>
    <fill>
      <patternFill patternType="solid">
        <fgColor rgb="FF073763"/>
        <bgColor rgb="FF073763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165" fontId="4" fillId="0" borderId="4" xfId="0" applyNumberFormat="1" applyFont="1" applyBorder="1" applyAlignment="1">
      <alignment vertical="center" wrapText="1"/>
    </xf>
    <xf numFmtId="0" fontId="4" fillId="0" borderId="0" xfId="0" applyFont="1"/>
    <xf numFmtId="0" fontId="4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165" fontId="9" fillId="0" borderId="4" xfId="0" applyNumberFormat="1" applyFont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0" borderId="4" xfId="0" applyFont="1" applyBorder="1"/>
    <xf numFmtId="165" fontId="9" fillId="0" borderId="4" xfId="0" applyNumberFormat="1" applyFont="1" applyBorder="1" applyAlignment="1">
      <alignment horizontal="right" vertical="center" wrapText="1"/>
    </xf>
    <xf numFmtId="10" fontId="4" fillId="0" borderId="4" xfId="0" applyNumberFormat="1" applyFont="1" applyBorder="1" applyAlignment="1">
      <alignment horizontal="center" vertical="center" wrapText="1"/>
    </xf>
    <xf numFmtId="10" fontId="4" fillId="0" borderId="0" xfId="0" applyNumberFormat="1" applyFont="1"/>
    <xf numFmtId="166" fontId="4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0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0" fontId="4" fillId="0" borderId="5" xfId="0" applyNumberFormat="1" applyFont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65" fontId="12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0" fillId="0" borderId="0" xfId="0"/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pivotButton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NumberFormat="1" applyBorder="1"/>
    <xf numFmtId="0" fontId="0" fillId="0" borderId="19" xfId="0" applyBorder="1"/>
    <xf numFmtId="0" fontId="0" fillId="0" borderId="20" xfId="0" applyNumberFormat="1" applyBorder="1"/>
    <xf numFmtId="0" fontId="0" fillId="0" borderId="0" xfId="0" applyNumberFormat="1"/>
  </cellXfs>
  <cellStyles count="1">
    <cellStyle name="Normal" xfId="0" builtinId="0"/>
  </cellStyles>
  <dxfs count="4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C27BA0"/>
          <bgColor rgb="FFC27BA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FC5E8"/>
          <bgColor rgb="FF9FC5E8"/>
        </patternFill>
      </fill>
    </dxf>
    <dxf>
      <font>
        <b/>
      </font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22053472222" refreshedVersion="8" recordCount="4" xr:uid="{00000000-000A-0000-FFFF-FFFF04000000}">
  <cacheSource type="worksheet">
    <worksheetSource ref="A2:O6" sheet="TED"/>
  </cacheSource>
  <cacheFields count="15">
    <cacheField name="Ano" numFmtId="0">
      <sharedItems containsSemiMixedTypes="0" containsString="0" containsNumber="1" containsInteger="1" minValue="2025" maxValue="2025"/>
    </cacheField>
    <cacheField name="Nome do proponente" numFmtId="0">
      <sharedItems count="4">
        <s v="INSTITUTO FEDERAL DO PIAUÍ - IFPI"/>
        <s v="INSTITUTO FEDERAL DO PIAUÍ - IFPI (CGST)"/>
        <s v="Universidade Federal de Brasília - UnB"/>
        <s v="Instituto Federal de Educação, Ciência e Tecnologia do Maranhão - IFMA"/>
      </sharedItems>
    </cacheField>
    <cacheField name="UF do Proponente" numFmtId="0">
      <sharedItems/>
    </cacheField>
    <cacheField name="Instrumento" numFmtId="0">
      <sharedItems/>
    </cacheField>
    <cacheField name="Número do processo SEI" numFmtId="0">
      <sharedItems/>
    </cacheField>
    <cacheField name="Modalidade" numFmtId="0">
      <sharedItems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5-11-04T00:00:00" maxDate="2026-01-01T00:00:00"/>
    </cacheField>
    <cacheField name="Data Término de Vigência Atual" numFmtId="0">
      <sharedItems containsSemiMixedTypes="0" containsNonDate="0" containsDate="1" containsString="0" minDate="2026-12-12T00:00:00" maxDate="2027-06-06T00:00:00"/>
    </cacheField>
    <cacheField name="Valor Total do Plano de Ação" numFmtId="165">
      <sharedItems containsSemiMixedTypes="0" containsString="0" containsNumber="1" containsInteger="1" minValue="4002240" maxValue="12500000"/>
    </cacheField>
    <cacheField name="Valor Global" numFmtId="165">
      <sharedItems containsSemiMixedTypes="0" containsString="0" containsNumber="1" containsInteger="1" minValue="4002240" maxValue="12500000"/>
    </cacheField>
    <cacheField name="Repasse Financeiro Realizado?" numFmtId="0">
      <sharedItems/>
    </cacheField>
    <cacheField name="Valor Já Repassado (MTur)" numFmtId="165">
      <sharedItems containsSemiMixedTypes="0" containsString="0" containsNumber="1" containsInteger="1" minValue="3500000" maxValue="12500000"/>
    </cacheField>
    <cacheField name="Situação" numFmtId="0">
      <sharedItems/>
    </cacheField>
    <cacheField name="Observaçõ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22053472222" refreshedVersion="8" recordCount="11" xr:uid="{00000000-000A-0000-FFFF-FFFF03000000}">
  <cacheSource type="worksheet">
    <worksheetSource ref="A2:U13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1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 count="1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 count="4">
        <n v="5400020240014"/>
        <n v="5400020250016"/>
        <n v="5400020260023"/>
        <n v="5400020260009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07-20T00:00:00"/>
    </cacheField>
    <cacheField name="Data Término de Vigência Atual" numFmtId="0">
      <sharedItems containsSemiMixedTypes="0" containsNonDate="0" containsDate="1" containsString="0" minDate="2026-10-01T00:00:00" maxDate="2027-07-19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 count="5">
        <s v="NT E TA EM ANALISE ALDO"/>
        <m/>
        <s v="IMPEDIMENTO TÉCNICO"/>
        <s v="pedir para ajustarem o atestado de capacidade tecnica "/>
        <s v="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22053703706" refreshedVersion="8" recordCount="12" xr:uid="{00000000-000A-0000-FFFF-FFFF02000000}">
  <cacheSource type="worksheet">
    <worksheetSource ref="A2:U14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2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/>
    </cacheField>
    <cacheField name="Número da Proposta" numFmtId="0">
      <sharedItems count="12"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12-02T00:00:00"/>
    </cacheField>
    <cacheField name="Data Término de Vigência Atual" numFmtId="0">
      <sharedItems containsSemiMixedTypes="0" containsNonDate="0" containsDate="1" containsString="0" minDate="2026-10-01T00:00:00" maxDate="2027-10-01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22053819445" refreshedVersion="8" recordCount="34" xr:uid="{00000000-000A-0000-FFFF-FFFF01000000}">
  <cacheSource type="worksheet">
    <worksheetSource ref="A2:U36" sheet="Convênios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31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unt="34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08" maxValue="5400020260018" count="6">
        <n v="5400020240008"/>
        <n v="5400020240012"/>
        <n v="5400020250017"/>
        <n v="5400020250019"/>
        <n v="5400020260018"/>
        <n v="5400020260017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13T00:00:00" maxDate="2026-12-11T00:00:00"/>
    </cacheField>
    <cacheField name="Data Término de Vigência Atual" numFmtId="0">
      <sharedItems containsSemiMixedTypes="0" containsNonDate="0" containsDate="1" containsString="0" minDate="2026-12-30T00:00:00" maxDate="2028-10-01T00:00:00"/>
    </cacheField>
    <cacheField name="Valor de Repasse da Proposta" numFmtId="165">
      <sharedItems containsSemiMixedTypes="0" containsString="0" containsNumber="1" containsInteger="1" minValue="250000" maxValue="10000000"/>
    </cacheField>
    <cacheField name="Valor Global" numFmtId="165">
      <sharedItems containsSemiMixedTypes="0" containsString="0" containsNumber="1" minValue="263618.48" maxValue="10030000"/>
    </cacheField>
    <cacheField name="Valor do Empenho" numFmtId="165">
      <sharedItems containsString="0" containsBlank="1" containsNumber="1" containsInteger="1" minValue="370000" maxValue="10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500000" maxValue="2600000"/>
    </cacheField>
    <cacheField name="Saiu da Cláusula Suspensiva?" numFmtId="0">
      <sharedItems/>
    </cacheField>
    <cacheField name="Termo Aditivo Assinado?" numFmtId="0">
      <sharedItems/>
    </cacheField>
    <cacheField name="Motivo da Permanência na Cláusula Suspensiv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22054050922" refreshedVersion="8" recordCount="98" xr:uid="{00000000-000A-0000-FFFF-FFFF00000000}">
  <cacheSource type="worksheet">
    <worksheetSource ref="A2:U100" sheet="Convênios"/>
  </cacheSource>
  <cacheFields count="21">
    <cacheField name="Ano" numFmtId="0">
      <sharedItems containsString="0" containsBlank="1" containsNumber="1" containsInteger="1" minValue="2024" maxValue="2026" count="4">
        <n v="2024"/>
        <n v="2025"/>
        <n v="2026"/>
        <m/>
      </sharedItems>
    </cacheField>
    <cacheField name="Nome do proponente" numFmtId="0">
      <sharedItems containsBlank="1" count="36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s v=" MUNICIPIO DE OLHO D'AGUA DO CASADO"/>
        <s v="MUNICIPIO DE CAJUEIRO"/>
        <s v="MUNICIPIO DE SÃO MIGUEL DOS CAMPOS"/>
        <m/>
      </sharedItems>
    </cacheField>
    <cacheField name="UF do Proponente" numFmtId="0">
      <sharedItems containsBlank="1"/>
    </cacheField>
    <cacheField name="Cidade Sede" numFmtId="0">
      <sharedItems containsBlank="1"/>
    </cacheField>
    <cacheField name="Instrumento" numFmtId="0">
      <sharedItems containsBlank="1" count="35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m/>
      </sharedItems>
    </cacheField>
    <cacheField name="Número da Proposta" numFmtId="0">
      <sharedItems containsBlank="1"/>
    </cacheField>
    <cacheField name="Número do processo SEI" numFmtId="0">
      <sharedItems containsBlank="1"/>
    </cacheField>
    <cacheField name="Objeto" numFmtId="0">
      <sharedItems containsBlank="1"/>
    </cacheField>
    <cacheField name="Modalidade" numFmtId="0">
      <sharedItems containsBlank="1"/>
    </cacheField>
    <cacheField name="Código do Programa" numFmtId="0">
      <sharedItems containsString="0" containsBlank="1" containsNumber="1" containsInteger="1" minValue="5400020240008" maxValue="5400020260018"/>
    </cacheField>
    <cacheField name="Parlamentar Solicitante" numFmtId="0">
      <sharedItems containsBlank="1"/>
    </cacheField>
    <cacheField name="Data Início de Vigência" numFmtId="0">
      <sharedItems containsNonDate="0" containsDate="1" containsString="0" containsBlank="1" minDate="2024-12-13T00:00:00" maxDate="2026-12-31T00:00:00"/>
    </cacheField>
    <cacheField name="Data Término de Vigência Atual" numFmtId="0">
      <sharedItems containsNonDate="0" containsDate="1" containsString="0" containsBlank="1" minDate="2026-12-30T00:00:00" maxDate="2029-01-01T00:00:00"/>
    </cacheField>
    <cacheField name="Valor de Repasse da Proposta" numFmtId="0">
      <sharedItems containsString="0" containsBlank="1" containsNumber="1" containsInteger="1" minValue="250000" maxValue="10000000"/>
    </cacheField>
    <cacheField name="Valor Global" numFmtId="0">
      <sharedItems containsString="0" containsBlank="1" containsNumber="1" minValue="251000" maxValue="10030000"/>
    </cacheField>
    <cacheField name="Valor do Empenho" numFmtId="0">
      <sharedItems containsString="0" containsBlank="1" containsNumber="1" containsInteger="1" minValue="370000" maxValue="10000000"/>
    </cacheField>
    <cacheField name="Repasse Financeiro Realizado?" numFmtId="0">
      <sharedItems containsBlank="1"/>
    </cacheField>
    <cacheField name="Valor Já Repassado (MTur)" numFmtId="0">
      <sharedItems containsString="0" containsBlank="1" containsNumber="1" containsInteger="1" minValue="500000" maxValue="2600000"/>
    </cacheField>
    <cacheField name="Saiu da Cláusula Suspensiva?" numFmtId="0">
      <sharedItems containsBlank="1"/>
    </cacheField>
    <cacheField name="Termo Aditivo Assinado?" numFmtId="0">
      <sharedItems containsBlank="1"/>
    </cacheField>
    <cacheField name="Motivo da Permanência na Cláusula Suspensiva" numFmtId="0">
      <sharedItems containsBlank="1" count="11">
        <m/>
        <s v="NÃO FEZ O ENVIO DA PLANILHA E NEM DO TR ATUALIZADO"/>
        <s v="THIAGO ESTÁ ANALISANDO "/>
        <s v="TIAGO MENDES ESTÁ ANALISANDO"/>
        <s v="TA PUBLICADO "/>
        <s v="CGUTRES TA FAZENDO O TERMO  ADITIVO"/>
        <s v="Falta contrapartida e processo licitatório "/>
        <s v="Não apresentaram o processo licitatório"/>
        <s v="Apresentarem documentos na aba anexos"/>
        <s v="Enviado para analise"/>
        <s v="pedimos complementação pacote formalizaçã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2025"/>
    <x v="0"/>
    <s v="PI"/>
    <s v=" TED nº  987841/2025"/>
    <s v="72031.009540/2025-69"/>
    <s v="RP8"/>
    <s v="Julio Arcoverde"/>
    <d v="2025-12-04T00:00:00"/>
    <d v="2027-06-05T00:00:00"/>
    <n v="5000000"/>
    <n v="5000000"/>
    <s v="SIM"/>
    <n v="5000000"/>
    <s v="Em execução"/>
    <m/>
  </r>
  <r>
    <n v="2025"/>
    <x v="1"/>
    <s v="PI"/>
    <s v=" TED nº 990795/2025"/>
    <s v="72031.011729/2025-11"/>
    <s v="RP8"/>
    <s v="Julio Arcoverde"/>
    <d v="2025-12-31T00:00:00"/>
    <d v="2027-01-12T00:00:00"/>
    <n v="5000000"/>
    <n v="5000000"/>
    <s v="SIM"/>
    <n v="5000000"/>
    <s v="Em execução"/>
    <m/>
  </r>
  <r>
    <n v="2025"/>
    <x v="2"/>
    <s v="PI"/>
    <s v=" TED nº 985434/2025"/>
    <s v="72031.003454/2025-42"/>
    <s v="RP8"/>
    <s v="Julio Arcoverde"/>
    <d v="2025-11-04T00:00:00"/>
    <d v="2027-04-30T00:00:00"/>
    <n v="4002240"/>
    <n v="4002240"/>
    <s v="SIM"/>
    <n v="3500000"/>
    <s v="Em execução"/>
    <s v="Saldo de R$ 502.240,00 aguardando indicação de recurso"/>
  </r>
  <r>
    <n v="2025"/>
    <x v="3"/>
    <s v="MA"/>
    <s v=" TED nº 988799/2025"/>
    <s v="72031.009969/2025-56"/>
    <s v="RP8"/>
    <s v="Julio Arcoverde"/>
    <d v="2025-12-12T00:00:00"/>
    <d v="2026-12-12T00:00:00"/>
    <n v="12500000"/>
    <n v="12500000"/>
    <s v="SIM"/>
    <n v="12500000"/>
    <s v="Em execução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RN"/>
    <s v="Natal"/>
    <x v="0"/>
    <s v="035534/2024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x v="0"/>
    <s v="Rogério Marinho"/>
    <d v="2024-12-31T00:00:00"/>
    <d v="2027-03-22T00:00:00"/>
    <n v="300000"/>
    <n v="300000"/>
    <n v="300000"/>
    <s v="SIM"/>
    <n v="300000"/>
    <s v="SIM"/>
    <s v="NÃO"/>
    <x v="0"/>
  </r>
  <r>
    <x v="1"/>
    <x v="1"/>
    <s v="DF"/>
    <s v="Brasília"/>
    <x v="1"/>
    <s v="065987/2025"/>
    <s v="72031.011036/2025-29"/>
    <s v="Realização do projeto Qualifica Turismo"/>
    <s v="RP8"/>
    <x v="1"/>
    <s v="Doutor Luizinho"/>
    <d v="2025-12-31T00:00:00"/>
    <d v="2027-05-31T00:00:00"/>
    <n v="5000000"/>
    <n v="5000000"/>
    <n v="5000000"/>
    <s v="SIM"/>
    <n v="5000000"/>
    <s v="SIM"/>
    <s v="SIM"/>
    <x v="1"/>
  </r>
  <r>
    <x v="1"/>
    <x v="2"/>
    <s v="MA"/>
    <s v="São Luiz"/>
    <x v="2"/>
    <s v="065935/2025"/>
    <s v="72031.011033/2025-95"/>
    <s v="Realização de Cursos de Qualificação voltados a prestadores de serviços turísticos."/>
    <s v="RP8"/>
    <x v="1"/>
    <s v="Pedro Lucas Fernandes"/>
    <d v="2025-12-31T00:00:00"/>
    <d v="2027-05-04T00:00:00"/>
    <n v="330000"/>
    <n v="330000"/>
    <n v="330000"/>
    <s v="SIM"/>
    <n v="330000"/>
    <s v="SIM"/>
    <s v="SIM"/>
    <x v="1"/>
  </r>
  <r>
    <x v="1"/>
    <x v="3"/>
    <s v="RJ"/>
    <s v="Rio de Janeiro"/>
    <x v="3"/>
    <s v="065398/2025"/>
    <s v="72031.010787/2025-28"/>
    <s v="Implementação do Projeto Rio Destino 360 no Estado do Rio de Janeiro."/>
    <s v="RP8"/>
    <x v="1"/>
    <s v="Otoni de Paula"/>
    <d v="2025-12-31T00:00:00"/>
    <d v="2027-01-05T00:00:00"/>
    <n v="4000000"/>
    <n v="4000000"/>
    <n v="4000000"/>
    <s v="SIM"/>
    <n v="4000000"/>
    <s v="SIM"/>
    <s v="SIM"/>
    <x v="1"/>
  </r>
  <r>
    <x v="1"/>
    <x v="4"/>
    <s v="MA"/>
    <s v="Penalva"/>
    <x v="4"/>
    <s v="057787/2025"/>
    <s v="72031.008882/2025-61"/>
    <s v="Realização de Cursos de Qualificação Profissional voltados a prestadores de serviços dos setores turísticos do Estado do Maranhão."/>
    <s v="RP8"/>
    <x v="1"/>
    <s v="Pedro Lucas Fernandes"/>
    <d v="2025-12-30T00:00:00"/>
    <d v="2027-05-04T00:00:00"/>
    <n v="500000"/>
    <n v="500000"/>
    <n v="500000"/>
    <s v="SIM"/>
    <n v="500000"/>
    <s v="SIM"/>
    <s v="SIM"/>
    <x v="1"/>
  </r>
  <r>
    <x v="1"/>
    <x v="5"/>
    <s v="CE"/>
    <s v="Fortaleza"/>
    <x v="5"/>
    <s v="048761/2025"/>
    <s v="72031.007746/2025-54"/>
    <s v="Realizar a qualificação para os profissionais da área de turismo de eventos"/>
    <s v="RP8"/>
    <x v="1"/>
    <s v="Dayany Bittencourt"/>
    <d v="2025-12-31T00:00:00"/>
    <d v="2027-04-05T00:00:00"/>
    <n v="450000"/>
    <n v="450000"/>
    <n v="450000"/>
    <s v="NÃO"/>
    <m/>
    <s v="SIM"/>
    <s v="SIM"/>
    <x v="1"/>
  </r>
  <r>
    <x v="1"/>
    <x v="6"/>
    <s v="RJ"/>
    <s v="Rio de Janeiro"/>
    <x v="6"/>
    <s v="047523/2025"/>
    <s v="72031.007747/2025-07"/>
    <s v="Realização de cursos de qualificação profissional voltados a prestadores de serviços turísticos."/>
    <s v="RP8"/>
    <x v="1"/>
    <s v="Murillo Gouvea"/>
    <d v="2025-12-30T00:00:00"/>
    <d v="2026-11-30T00:00:00"/>
    <n v="450000"/>
    <n v="450000"/>
    <n v="450000"/>
    <s v="SIM"/>
    <n v="450000"/>
    <s v="SIM"/>
    <s v="SIM"/>
    <x v="1"/>
  </r>
  <r>
    <x v="1"/>
    <x v="7"/>
    <s v="RJ"/>
    <s v="Rio de Janeiro"/>
    <x v="7"/>
    <s v="045968/2025"/>
    <s v="72031.007749/2025-98"/>
    <s v="Realização de cursos de qualificação profissional voltados a prestadores de serviços turísticos nos municípios de Guapimirim e Búzios – RJ."/>
    <s v="RP8"/>
    <x v="1"/>
    <s v="Juninho do Pneu"/>
    <d v="2025-12-30T00:00:00"/>
    <d v="2026-10-01T00:00:00"/>
    <n v="400000"/>
    <n v="400000"/>
    <n v="400000"/>
    <s v="SIM"/>
    <n v="400000"/>
    <s v="SIM"/>
    <s v="SIM"/>
    <x v="1"/>
  </r>
  <r>
    <x v="2"/>
    <x v="8"/>
    <s v="RJ"/>
    <s v="Saquarema"/>
    <x v="8"/>
    <s v="026743/2026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x v="2"/>
    <s v="DR. Flavio Campos Ferreira"/>
    <d v="2026-06-05T00:00:00"/>
    <d v="2027-06-04T00:00:00"/>
    <n v="2500000"/>
    <n v="2500000"/>
    <m/>
    <s v="NÃO"/>
    <m/>
    <s v="NÃO"/>
    <s v="NÃO"/>
    <x v="2"/>
  </r>
  <r>
    <x v="2"/>
    <x v="9"/>
    <s v="MG"/>
    <s v="Araguari"/>
    <x v="9"/>
    <s v="027839/2026"/>
    <s v="72031.005809/2026-19"/>
    <s v="Realização de cursos de qualificação profissional voltados a prestadores de serviços turísticos."/>
    <s v="RP8"/>
    <x v="2"/>
    <s v="Zé Vitor"/>
    <d v="2026-07-19T00:00:00"/>
    <d v="2027-07-18T00:00:00"/>
    <n v="2500000"/>
    <n v="2500000"/>
    <n v="2500000"/>
    <s v="NÃO"/>
    <m/>
    <s v="NÃO"/>
    <s v="NÃO"/>
    <x v="3"/>
  </r>
  <r>
    <x v="2"/>
    <x v="10"/>
    <s v="RJ"/>
    <s v="Rio de Janeiro"/>
    <x v="10"/>
    <s v="011309/2026"/>
    <s v="72031.005102/2026-11"/>
    <s v="IMPLEMENTAÇÃO DE PROGRAMA DE QUALIFICAÇÃO PROFISSIONAL AOS PROFISSIONAIS DE ATENDIMENTO DO RIO DE JANEIRO"/>
    <s v="RP6"/>
    <x v="3"/>
    <s v="Marcelo Crivella"/>
    <d v="2026-06-01T00:00:00"/>
    <d v="2027-06-01T00:00:00"/>
    <n v="250000"/>
    <n v="250000"/>
    <n v="250000"/>
    <s v="NÃO"/>
    <m/>
    <s v="NÃO"/>
    <s v="NÃ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RN"/>
    <s v="Natal"/>
    <s v="Termo de Fomento nº 971418/2024"/>
    <x v="0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n v="5400020240014"/>
    <s v="Rogério Marinho"/>
    <d v="2024-12-31T00:00:00"/>
    <d v="2027-03-22T00:00:00"/>
    <n v="300000"/>
    <n v="300000"/>
    <n v="300000"/>
    <s v="SIM"/>
    <n v="300000"/>
    <s v="SIM"/>
    <s v="NÃO"/>
    <s v="NT E TA EM ANALISE ALDO"/>
  </r>
  <r>
    <x v="1"/>
    <x v="1"/>
    <s v="DF"/>
    <s v="Brasília"/>
    <s v="Termo de Fomento nº 988679/2025"/>
    <x v="1"/>
    <s v="72031.011036/2025-29"/>
    <s v="Realização do projeto Qualifica Turismo"/>
    <s v="RP8"/>
    <n v="5400020250016"/>
    <s v="Doutor Luizinho"/>
    <d v="2025-12-31T00:00:00"/>
    <d v="2027-05-31T00:00:00"/>
    <n v="5000000"/>
    <n v="5000000"/>
    <n v="5000000"/>
    <s v="SIM"/>
    <n v="5000000"/>
    <s v="SIM"/>
    <s v="SIM"/>
    <m/>
  </r>
  <r>
    <x v="1"/>
    <x v="2"/>
    <s v="MA"/>
    <s v="São Luiz"/>
    <s v="Termo de Fomento nº 988537/2025"/>
    <x v="2"/>
    <s v="72031.011033/2025-95"/>
    <s v="Realização de Cursos de Qualificação voltados a prestadores de serviços turísticos."/>
    <s v="RP8"/>
    <n v="5400020250016"/>
    <s v="Pedro Lucas Fernandes"/>
    <d v="2025-12-31T00:00:00"/>
    <d v="2027-05-04T00:00:00"/>
    <n v="330000"/>
    <n v="330000"/>
    <n v="330000"/>
    <s v="SIM"/>
    <n v="330000"/>
    <s v="SIM"/>
    <s v="SIM"/>
    <m/>
  </r>
  <r>
    <x v="1"/>
    <x v="3"/>
    <s v="RJ"/>
    <s v="Rio de Janeiro"/>
    <s v="Termo de Fomento nº 987800/2025"/>
    <x v="3"/>
    <s v="72031.010787/2025-28"/>
    <s v="Implementação do Projeto Rio Destino 360 no Estado do Rio de Janeiro."/>
    <s v="RP8"/>
    <n v="5400020250016"/>
    <s v="Otoni de Paula"/>
    <d v="2025-12-31T00:00:00"/>
    <d v="2027-01-05T00:00:00"/>
    <n v="4000000"/>
    <n v="4000000"/>
    <n v="4000000"/>
    <s v="SIM"/>
    <n v="4000000"/>
    <s v="SIM"/>
    <s v="SIM"/>
    <m/>
  </r>
  <r>
    <x v="1"/>
    <x v="4"/>
    <s v="MA"/>
    <s v="Penalva"/>
    <s v="Termo de Fomento nº 981884/2025"/>
    <x v="4"/>
    <s v="72031.008882/2025-61"/>
    <s v="Realização de Cursos de Qualificação Profissional voltados a prestadores de serviços dos setores turísticos do Estado do Maranhão."/>
    <s v="RP8"/>
    <n v="5400020250016"/>
    <s v="Pedro Lucas Fernandes"/>
    <d v="2025-12-30T00:00:00"/>
    <d v="2027-05-04T00:00:00"/>
    <n v="500000"/>
    <n v="500000"/>
    <n v="500000"/>
    <s v="SIM"/>
    <n v="500000"/>
    <s v="SIM"/>
    <s v="SIM"/>
    <m/>
  </r>
  <r>
    <x v="1"/>
    <x v="5"/>
    <s v="CE"/>
    <s v="Fortaleza"/>
    <s v="Termo de Fomento nº 982190/2025"/>
    <x v="5"/>
    <s v="72031.007746/2025-54"/>
    <s v="Realizar a qualificação para os profissionais da área de turismo de eventos"/>
    <s v="RP8"/>
    <n v="5400020250016"/>
    <s v="Dayany Bittencourt"/>
    <d v="2025-12-31T00:00:00"/>
    <d v="2027-04-05T00:00:00"/>
    <n v="450000"/>
    <n v="450000"/>
    <n v="450000"/>
    <s v="NÃO"/>
    <m/>
    <s v="SIM"/>
    <s v="SIM"/>
    <m/>
  </r>
  <r>
    <x v="1"/>
    <x v="6"/>
    <s v="RJ"/>
    <s v="Rio de Janeiro"/>
    <s v="Termo de Fomento nº 981981/2025"/>
    <x v="6"/>
    <s v="72031.007747/2025-07"/>
    <s v="Realização de cursos de qualificação profissional voltados a prestadores de serviços turísticos."/>
    <s v="RP8"/>
    <n v="5400020250016"/>
    <s v="Murillo Gouvea"/>
    <d v="2025-12-30T00:00:00"/>
    <d v="2026-11-30T00:00:00"/>
    <n v="450000"/>
    <n v="450000"/>
    <n v="450000"/>
    <s v="SIM"/>
    <n v="450000"/>
    <s v="SIM"/>
    <s v="SIM"/>
    <m/>
  </r>
  <r>
    <x v="1"/>
    <x v="7"/>
    <s v="RJ"/>
    <s v="Rio de Janeiro"/>
    <s v="Termo de Fomento nº 982185/2025"/>
    <x v="7"/>
    <s v="72031.007749/2025-98"/>
    <s v="Realização de cursos de qualificação profissional voltados a prestadores de serviços turísticos nos municípios de Guapimirim e Búzios – RJ."/>
    <s v="RP8"/>
    <n v="5400020250016"/>
    <s v="Juninho do Pneu"/>
    <d v="2025-12-30T00:00:00"/>
    <d v="2026-10-01T00:00:00"/>
    <n v="400000"/>
    <n v="400000"/>
    <n v="400000"/>
    <s v="SIM"/>
    <n v="400000"/>
    <s v="SIM"/>
    <s v="SIM"/>
    <m/>
  </r>
  <r>
    <x v="2"/>
    <x v="8"/>
    <s v="RJ"/>
    <s v="Saquarema"/>
    <m/>
    <x v="8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n v="5400020260023"/>
    <s v="DR. Flavio Campos Ferreira"/>
    <d v="2026-06-05T00:00:00"/>
    <d v="2027-06-04T00:00:00"/>
    <n v="2500000"/>
    <n v="2500000"/>
    <m/>
    <s v="NÃO"/>
    <m/>
    <s v="NÃO"/>
    <s v="NÃO"/>
    <s v="IMPEDIMENTO TÉCNICO"/>
  </r>
  <r>
    <x v="2"/>
    <x v="9"/>
    <s v="MG"/>
    <s v="Araguari"/>
    <s v="Termo de Fomento nº 7AAAJN/2026"/>
    <x v="9"/>
    <s v="72031.005809/2026-19"/>
    <s v="Realização de cursos de qualificação profissional voltados a prestadores de serviços turísticos."/>
    <s v="RP8"/>
    <n v="5400020260023"/>
    <s v="Zé Vitor"/>
    <d v="2026-07-19T00:00:00"/>
    <d v="2027-07-18T00:00:00"/>
    <n v="2500000"/>
    <n v="2500000"/>
    <n v="2500000"/>
    <s v="NÃO"/>
    <m/>
    <s v="NÃO"/>
    <s v="NÃO"/>
    <s v="pedir para ajustarem o atestado de capacidade tecnica "/>
  </r>
  <r>
    <x v="2"/>
    <x v="10"/>
    <s v="RJ"/>
    <s v="Rio de Janeiro"/>
    <s v="Termo de Fomento nº 999084/2026"/>
    <x v="10"/>
    <s v="72031.005102/2026-11"/>
    <s v="IMPLEMENTAÇÃO DE PROGRAMA DE QUALIFICAÇÃO PROFISSIONAL AOS PROFISSIONAIS DE ATENDIMENTO DO RIO DE JANEIRO"/>
    <s v="RP6"/>
    <n v="5400020260009"/>
    <s v="Marcelo Crivella"/>
    <d v="2026-06-01T00:00:00"/>
    <d v="2027-06-01T00:00:00"/>
    <n v="250000"/>
    <n v="250000"/>
    <n v="250000"/>
    <s v="NÃO"/>
    <m/>
    <s v="NÃO"/>
    <s v="NÃO"/>
    <s v="Em Complementação"/>
  </r>
  <r>
    <x v="2"/>
    <x v="11"/>
    <s v="RJ"/>
    <s v="Rio de Janeiro"/>
    <s v="Termo de Fomento nº 7AAEOA/2026"/>
    <x v="11"/>
    <s v="72031.007850/2026-20"/>
    <s v="Realização de cursos de qualificação profissional voltados a prestadores de serviços turísticos."/>
    <s v="RP6"/>
    <n v="5400020260009"/>
    <s v="Murillo Gouvea"/>
    <d v="2026-12-01T00:00:00"/>
    <d v="2027-09-30T00:00:00"/>
    <n v="500000"/>
    <n v="500000"/>
    <m/>
    <s v="NÃO"/>
    <m/>
    <s v="NÃO"/>
    <s v="NÃO"/>
    <s v="Enviado para anali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x v="0"/>
    <s v="Fernando Mineiro"/>
    <d v="2024-12-13T00:00:00"/>
    <d v="2027-06-13T00:00:00"/>
    <n v="500000"/>
    <n v="546039.72"/>
    <n v="500000"/>
    <s v="SIM"/>
    <n v="500000"/>
    <s v="SIM"/>
    <s v="SIM"/>
    <m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x v="0"/>
    <s v="Rogério Marinho"/>
    <d v="2024-12-23T00:00:00"/>
    <d v="2026-12-31T00:00:00"/>
    <n v="1000000"/>
    <n v="1000000"/>
    <n v="1000000"/>
    <s v="SIM"/>
    <n v="1000000"/>
    <s v="SIM"/>
    <s v="SIM"/>
    <m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x v="0"/>
    <s v="Yandra Moura"/>
    <d v="2024-12-18T00:00:00"/>
    <d v="2027-12-18T00:00:00"/>
    <n v="1000000"/>
    <n v="1050000"/>
    <n v="1000000"/>
    <s v="SIM"/>
    <n v="1000000"/>
    <s v="SIM"/>
    <s v="SIM"/>
    <m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x v="1"/>
    <s v="MINISTRO"/>
    <d v="2024-12-31T00:00:00"/>
    <d v="2026-12-30T00:00:00"/>
    <n v="1000000"/>
    <n v="1020000"/>
    <n v="1000000"/>
    <s v="NÃO"/>
    <m/>
    <s v="SIM"/>
    <s v="SIM"/>
    <m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x v="2"/>
    <s v="Dal Barreto"/>
    <d v="2025-12-31T00:00:00"/>
    <d v="2027-04-30T00:00:00"/>
    <n v="450000"/>
    <n v="455000"/>
    <n v="450000"/>
    <s v="NÃO"/>
    <m/>
    <s v="NÃO"/>
    <s v="NÃO"/>
    <s v="NÃO FEZ O ENVIO DA PLANILHA E NEM DO TR ATUALIZADO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x v="2"/>
    <s v="José Nelto"/>
    <d v="2025-12-19T00:00:00"/>
    <d v="2027-12-19T00:00:00"/>
    <n v="450000"/>
    <n v="455377.26"/>
    <n v="450000"/>
    <s v="NÃO"/>
    <m/>
    <s v="NÃO"/>
    <s v="NÃO"/>
    <s v="THIAGO ESTÁ ANALISANDO 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x v="2"/>
    <s v="Pedro Lucas Fernandes"/>
    <d v="2025-12-23T00:00:00"/>
    <d v="2027-12-23T00:00:00"/>
    <n v="2994000"/>
    <n v="3000000"/>
    <n v="2994000"/>
    <s v="NÃO"/>
    <m/>
    <s v="SIM"/>
    <s v="SIM"/>
    <m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x v="2"/>
    <s v="Cabo Gilberto Silva"/>
    <d v="2025-12-18T00:00:00"/>
    <d v="2027-12-18T00:00:00"/>
    <n v="990000"/>
    <n v="1000000"/>
    <n v="1000000"/>
    <s v="NÃO"/>
    <m/>
    <s v="SIM"/>
    <s v="SIM"/>
    <m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x v="2"/>
    <s v="Dani Cunha"/>
    <d v="2025-12-22T00:00:00"/>
    <d v="2027-12-20T00:00:00"/>
    <n v="700000"/>
    <n v="707000"/>
    <n v="700000"/>
    <s v="NÃO"/>
    <m/>
    <s v="SIM"/>
    <s v="SIM"/>
    <m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x v="2"/>
    <s v="Pedro Lucas Fernandes/Dep Yandra"/>
    <d v="2025-12-17T00:00:00"/>
    <d v="2027-12-17T00:00:00"/>
    <n v="1300000"/>
    <n v="1301400"/>
    <n v="1300000"/>
    <s v="NÃO"/>
    <m/>
    <s v="NÃO"/>
    <s v="NÃO"/>
    <s v="TIAGO MENDES ESTÁ ANALISANDO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x v="2"/>
    <s v="Florentino Neto"/>
    <d v="2025-12-19T00:00:00"/>
    <d v="2027-12-19T00:00:00"/>
    <n v="500000"/>
    <n v="505000"/>
    <n v="500000"/>
    <s v="NÃO"/>
    <m/>
    <s v="SIM"/>
    <s v="SIM"/>
    <m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x v="2"/>
    <s v="Eduardo Velloso"/>
    <d v="2025-12-30T00:00:00"/>
    <d v="2027-12-31T00:00:00"/>
    <n v="500000"/>
    <n v="500500.5"/>
    <n v="500000"/>
    <s v="NÃO"/>
    <m/>
    <s v="SIM"/>
    <s v="SIM"/>
    <m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x v="2"/>
    <s v="Marcos Soares"/>
    <d v="2025-12-23T00:00:00"/>
    <d v="2027-12-23T00:00:00"/>
    <n v="1259150"/>
    <n v="1260750"/>
    <n v="1450000"/>
    <s v="NÃO"/>
    <m/>
    <s v="SIM"/>
    <s v="SIM"/>
    <m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x v="2"/>
    <s v="Pauderney Avelino"/>
    <d v="2025-12-30T00:00:00"/>
    <d v="2027-12-20T00:00:00"/>
    <n v="450000"/>
    <n v="452000"/>
    <n v="450000"/>
    <s v="NÃO"/>
    <m/>
    <s v="SIM"/>
    <s v="SIM"/>
    <m/>
  </r>
  <r>
    <x v="1"/>
    <x v="14"/>
    <s v="RN"/>
    <s v="Tibau do Sul"/>
    <x v="14"/>
    <s v="048276/2025"/>
    <s v="72031.007727/2025-28"/>
    <s v="PROMOVER A QUALIFICAÇÃO PROFISSIONAL NO MUNICÍPIO DE TIBAU DO SUL-RN"/>
    <s v="RP8"/>
    <x v="2"/>
    <s v="Benes Leocádio"/>
    <d v="2025-12-16T00:00:00"/>
    <d v="2027-12-16T00:00:00"/>
    <n v="400000"/>
    <n v="401000"/>
    <n v="400000"/>
    <s v="NÃO"/>
    <m/>
    <s v="SIM"/>
    <s v="SIM"/>
    <m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x v="2"/>
    <s v="Ricardo Abrão"/>
    <d v="2025-12-29T00:00:00"/>
    <d v="2027-04-30T00:00:00"/>
    <n v="800000"/>
    <n v="808000"/>
    <n v="800000"/>
    <s v="NÃO"/>
    <m/>
    <s v="NÃO"/>
    <s v="NÃO"/>
    <s v="TIAGO MENDES ESTÁ ANALISANDO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x v="2"/>
    <s v="Yandra Moura"/>
    <d v="2025-12-16T00:00:00"/>
    <d v="2027-12-16T00:00:00"/>
    <n v="450000"/>
    <n v="451000"/>
    <n v="450000"/>
    <s v="NÃO"/>
    <m/>
    <s v="SIM"/>
    <s v="SIM"/>
    <m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x v="2"/>
    <s v="Moses Rodrigues"/>
    <d v="2025-12-29T00:00:00"/>
    <d v="2027-05-03T00:00:00"/>
    <n v="1500000"/>
    <n v="1612903.23"/>
    <n v="1500000"/>
    <s v="NÃO"/>
    <m/>
    <s v="SIM"/>
    <s v="SIM"/>
    <m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x v="2"/>
    <s v="Moses Rodrigues"/>
    <d v="2025-12-19T00:00:00"/>
    <d v="2027-04-30T00:00:00"/>
    <n v="450000"/>
    <n v="451681.86"/>
    <n v="450000"/>
    <s v="NÃO"/>
    <m/>
    <s v="SIM"/>
    <s v="SIM"/>
    <s v="TA PUBLICADO 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x v="2"/>
    <s v="Dal Barreto"/>
    <d v="2025-12-16T00:00:00"/>
    <d v="2028-09-19T00:00:00"/>
    <n v="370000"/>
    <n v="379820"/>
    <n v="370000"/>
    <s v="NÃO"/>
    <m/>
    <s v="SIM"/>
    <s v="SIM"/>
    <m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x v="2"/>
    <s v="Florentino Neto"/>
    <d v="2025-12-29T00:00:00"/>
    <d v="2027-12-20T00:00:00"/>
    <n v="500000"/>
    <n v="505000"/>
    <n v="500000"/>
    <s v="NÃO"/>
    <m/>
    <s v="SIM"/>
    <s v="SIM"/>
    <m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x v="2"/>
    <s v="Pedro Lucas Fernandes"/>
    <d v="2025-12-29T00:00:00"/>
    <d v="2027-04-06T00:00:00"/>
    <n v="2600000"/>
    <n v="2630400"/>
    <n v="2600000"/>
    <s v="SIM"/>
    <n v="2600000"/>
    <s v="SIM"/>
    <s v="SIM"/>
    <m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x v="2"/>
    <s v="Fausto Santos Jr."/>
    <d v="2025-12-16T00:00:00"/>
    <d v="2027-04-27T00:00:00"/>
    <n v="450000"/>
    <n v="450500"/>
    <n v="450000"/>
    <s v="NÃO"/>
    <m/>
    <s v="SIM"/>
    <s v="SIM"/>
    <m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x v="2"/>
    <s v="Florentino Neto"/>
    <d v="2025-12-30T00:00:00"/>
    <d v="2027-04-30T00:00:00"/>
    <n v="500000"/>
    <n v="505000"/>
    <n v="500000"/>
    <s v="NÃO"/>
    <m/>
    <s v="SIM"/>
    <s v="SIM"/>
    <m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x v="2"/>
    <s v="Julio Arcoverde"/>
    <d v="2025-12-24T00:00:00"/>
    <d v="2027-12-24T00:00:00"/>
    <n v="10000000"/>
    <n v="10030000"/>
    <n v="10000000"/>
    <s v="NÃO"/>
    <m/>
    <s v="SIM"/>
    <s v="SIM"/>
    <m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x v="2"/>
    <s v="Dilvanda Faro"/>
    <d v="2025-12-17T00:00:00"/>
    <d v="2027-12-17T00:00:00"/>
    <n v="1500000"/>
    <n v="1502000"/>
    <n v="1500000"/>
    <s v="SIM"/>
    <n v="1500000"/>
    <s v="SIM"/>
    <s v="SIM"/>
    <m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x v="2"/>
    <s v="Deputado Federal David Soares"/>
    <d v="2025-12-24T00:00:00"/>
    <d v="2028-09-30T00:00:00"/>
    <n v="1700000"/>
    <n v="1734000"/>
    <n v="1700000"/>
    <s v="NÃO"/>
    <m/>
    <s v="NÃO"/>
    <s v="NÃO"/>
    <s v="CGUTRES TA FAZENDO O TERMO  ADITIVO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x v="3"/>
    <s v="Rogério Marinho"/>
    <d v="2025-11-01T00:00:00"/>
    <d v="2027-11-30T00:00:00"/>
    <n v="500000"/>
    <n v="500000"/>
    <n v="500000"/>
    <s v="SIM"/>
    <n v="500000"/>
    <s v="SIM"/>
    <s v="SIM"/>
    <m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x v="4"/>
    <s v="MINISTRO"/>
    <d v="2026-06-15T00:00:00"/>
    <d v="2027-06-15T00:00:00"/>
    <n v="1000000"/>
    <n v="1010000"/>
    <n v="1000000"/>
    <s v="NÃO"/>
    <m/>
    <s v="EM EXECUÇÃO"/>
    <s v="EM EXECUÇÃO"/>
    <s v="Não apresentaram o processo licitatório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x v="4"/>
    <s v="MINISTRO"/>
    <d v="2026-12-10T00:00:00"/>
    <d v="2027-12-10T00:00:00"/>
    <n v="1000000"/>
    <n v="1010000"/>
    <n v="1000000"/>
    <s v="NÃO"/>
    <m/>
    <s v="EM COMPLEMENTAÇÃO"/>
    <s v="EM COMPLEMENTAÇÃO"/>
    <s v="Apresentarem documentos na aba anexos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x v="5"/>
    <s v="Rogério Marinho"/>
    <d v="2026-12-01T00:00:00"/>
    <d v="2027-11-30T00:00:00"/>
    <n v="500000"/>
    <n v="525000"/>
    <n v="500000"/>
    <s v="NÃO"/>
    <m/>
    <s v="EM COMPLEMENTAÇÃO"/>
    <s v="EM COMPLEMENTAÇÃO"/>
    <m/>
  </r>
  <r>
    <x v="2"/>
    <x v="30"/>
    <s v="RN"/>
    <s v="Nísia Floresta"/>
    <x v="33"/>
    <s v="026609/2026"/>
    <s v="72031.007272/2026-21"/>
    <s v="Capacitação e Qualificação para o setor de Turismo em Nísia Floresta/RN"/>
    <s v="RP2"/>
    <x v="4"/>
    <s v="MINISTRO"/>
    <d v="2026-08-03T00:00:00"/>
    <d v="2028-08-30T00:00:00"/>
    <n v="250000"/>
    <n v="263618.48"/>
    <m/>
    <s v="NÃO"/>
    <m/>
    <s v="EM COMPLEMENTAÇÃO"/>
    <s v="EM COMPLEMENTAÇÃO"/>
    <s v="Enviado para analise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n v="5400020240008"/>
    <s v="Fernando Mineiro"/>
    <d v="2024-12-13T00:00:00"/>
    <d v="2027-06-13T00:00:00"/>
    <n v="500000"/>
    <n v="546039.72"/>
    <n v="500000"/>
    <s v="SIM"/>
    <n v="500000"/>
    <s v="SIM"/>
    <s v="SIM"/>
    <x v="0"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n v="5400020240008"/>
    <s v="Rogério Marinho"/>
    <d v="2024-12-23T00:00:00"/>
    <d v="2026-12-31T00:00:00"/>
    <n v="1000000"/>
    <n v="1000000"/>
    <n v="1000000"/>
    <s v="SIM"/>
    <n v="1000000"/>
    <s v="SIM"/>
    <s v="SIM"/>
    <x v="0"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n v="5400020240008"/>
    <s v="Yandra Moura"/>
    <d v="2024-12-18T00:00:00"/>
    <d v="2027-12-18T00:00:00"/>
    <n v="1000000"/>
    <n v="1050000"/>
    <n v="1000000"/>
    <s v="SIM"/>
    <n v="1000000"/>
    <s v="SIM"/>
    <s v="SIM"/>
    <x v="0"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n v="5400020240012"/>
    <s v="MINISTRO"/>
    <d v="2024-12-31T00:00:00"/>
    <d v="2026-12-30T00:00:00"/>
    <n v="1000000"/>
    <n v="1020000"/>
    <n v="1000000"/>
    <s v="NÃO"/>
    <m/>
    <s v="SIM"/>
    <s v="SIM"/>
    <x v="0"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n v="5400020250017"/>
    <s v="Dal Barreto"/>
    <d v="2025-12-31T00:00:00"/>
    <d v="2027-04-30T00:00:00"/>
    <n v="450000"/>
    <n v="455000"/>
    <n v="450000"/>
    <s v="NÃO"/>
    <m/>
    <s v="NÃO"/>
    <s v="NÃO"/>
    <x v="1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n v="5400020250017"/>
    <s v="José Nelto"/>
    <d v="2025-12-19T00:00:00"/>
    <d v="2027-12-19T00:00:00"/>
    <n v="450000"/>
    <n v="455377.26"/>
    <n v="450000"/>
    <s v="NÃO"/>
    <m/>
    <s v="NÃO"/>
    <s v="NÃO"/>
    <x v="2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n v="5400020250017"/>
    <s v="Pedro Lucas Fernandes"/>
    <d v="2025-12-23T00:00:00"/>
    <d v="2027-12-23T00:00:00"/>
    <n v="2994000"/>
    <n v="3000000"/>
    <n v="2994000"/>
    <s v="NÃO"/>
    <m/>
    <s v="SIM"/>
    <s v="SIM"/>
    <x v="0"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n v="5400020250017"/>
    <s v="Cabo Gilberto Silva"/>
    <d v="2025-12-18T00:00:00"/>
    <d v="2027-12-18T00:00:00"/>
    <n v="990000"/>
    <n v="1000000"/>
    <n v="1000000"/>
    <s v="NÃO"/>
    <m/>
    <s v="SIM"/>
    <s v="SIM"/>
    <x v="0"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n v="5400020250017"/>
    <s v="Dani Cunha"/>
    <d v="2025-12-22T00:00:00"/>
    <d v="2027-12-20T00:00:00"/>
    <n v="700000"/>
    <n v="707000"/>
    <n v="700000"/>
    <s v="NÃO"/>
    <m/>
    <s v="SIM"/>
    <s v="SIM"/>
    <x v="0"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n v="5400020250017"/>
    <s v="Pedro Lucas Fernandes/Dep Yandra"/>
    <d v="2025-12-17T00:00:00"/>
    <d v="2027-12-17T00:00:00"/>
    <n v="1300000"/>
    <n v="1301400"/>
    <n v="1300000"/>
    <s v="NÃO"/>
    <m/>
    <s v="NÃO"/>
    <s v="NÃO"/>
    <x v="3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n v="5400020250017"/>
    <s v="Florentino Neto"/>
    <d v="2025-12-19T00:00:00"/>
    <d v="2027-12-19T00:00:00"/>
    <n v="500000"/>
    <n v="505000"/>
    <n v="500000"/>
    <s v="NÃO"/>
    <m/>
    <s v="SIM"/>
    <s v="SIM"/>
    <x v="0"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n v="5400020250017"/>
    <s v="Eduardo Velloso"/>
    <d v="2025-12-30T00:00:00"/>
    <d v="2027-12-31T00:00:00"/>
    <n v="500000"/>
    <n v="500500.5"/>
    <n v="500000"/>
    <s v="NÃO"/>
    <m/>
    <s v="SIM"/>
    <s v="SIM"/>
    <x v="0"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n v="5400020250017"/>
    <s v="Marcos Soares"/>
    <d v="2025-12-23T00:00:00"/>
    <d v="2027-12-23T00:00:00"/>
    <n v="1259150"/>
    <n v="1260750"/>
    <n v="1450000"/>
    <s v="NÃO"/>
    <m/>
    <s v="SIM"/>
    <s v="SIM"/>
    <x v="0"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n v="5400020250017"/>
    <s v="Pauderney Avelino"/>
    <d v="2025-12-30T00:00:00"/>
    <d v="2027-12-20T00:00:00"/>
    <n v="450000"/>
    <n v="452000"/>
    <n v="450000"/>
    <s v="NÃO"/>
    <m/>
    <s v="SIM"/>
    <s v="SIM"/>
    <x v="0"/>
  </r>
  <r>
    <x v="1"/>
    <x v="14"/>
    <s v="RN"/>
    <s v="Tibau do Sul"/>
    <x v="14"/>
    <s v="048276/2025"/>
    <s v="72031.007727/2025-28"/>
    <s v="PROMOVER A QUALIFICAÇÃO PROFISSIONAL NO MUNICÍPIO DE TIBAU DO SUL-RN"/>
    <s v="RP8"/>
    <n v="5400020250017"/>
    <s v="Benes Leocádio"/>
    <d v="2025-12-16T00:00:00"/>
    <d v="2027-12-16T00:00:00"/>
    <n v="400000"/>
    <n v="401000"/>
    <n v="400000"/>
    <s v="NÃO"/>
    <m/>
    <s v="SIM"/>
    <s v="SIM"/>
    <x v="0"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n v="5400020250017"/>
    <s v="Ricardo Abrão"/>
    <d v="2025-12-29T00:00:00"/>
    <d v="2027-04-30T00:00:00"/>
    <n v="800000"/>
    <n v="808000"/>
    <n v="800000"/>
    <s v="NÃO"/>
    <m/>
    <s v="NÃO"/>
    <s v="NÃO"/>
    <x v="3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n v="5400020250017"/>
    <s v="Yandra Moura"/>
    <d v="2025-12-16T00:00:00"/>
    <d v="2027-12-16T00:00:00"/>
    <n v="450000"/>
    <n v="451000"/>
    <n v="450000"/>
    <s v="NÃO"/>
    <m/>
    <s v="SIM"/>
    <s v="SIM"/>
    <x v="0"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n v="5400020250017"/>
    <s v="Moses Rodrigues"/>
    <d v="2025-12-29T00:00:00"/>
    <d v="2027-05-03T00:00:00"/>
    <n v="1500000"/>
    <n v="1612903.23"/>
    <n v="1500000"/>
    <s v="NÃO"/>
    <m/>
    <s v="SIM"/>
    <s v="SIM"/>
    <x v="0"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n v="5400020250017"/>
    <s v="Moses Rodrigues"/>
    <d v="2025-12-19T00:00:00"/>
    <d v="2027-04-30T00:00:00"/>
    <n v="450000"/>
    <n v="451681.86"/>
    <n v="450000"/>
    <s v="NÃO"/>
    <m/>
    <s v="SIM"/>
    <s v="SIM"/>
    <x v="4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n v="5400020250017"/>
    <s v="Dal Barreto"/>
    <d v="2025-12-16T00:00:00"/>
    <d v="2028-09-19T00:00:00"/>
    <n v="370000"/>
    <n v="379820"/>
    <n v="370000"/>
    <s v="NÃO"/>
    <m/>
    <s v="SIM"/>
    <s v="SIM"/>
    <x v="0"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n v="5400020250017"/>
    <s v="Florentino Neto"/>
    <d v="2025-12-29T00:00:00"/>
    <d v="2027-12-20T00:00:00"/>
    <n v="500000"/>
    <n v="505000"/>
    <n v="500000"/>
    <s v="NÃO"/>
    <m/>
    <s v="SIM"/>
    <s v="SIM"/>
    <x v="0"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n v="5400020250017"/>
    <s v="Pedro Lucas Fernandes"/>
    <d v="2025-12-29T00:00:00"/>
    <d v="2027-04-06T00:00:00"/>
    <n v="2600000"/>
    <n v="2630400"/>
    <n v="2600000"/>
    <s v="SIM"/>
    <n v="2600000"/>
    <s v="SIM"/>
    <s v="SIM"/>
    <x v="0"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n v="5400020250017"/>
    <s v="Fausto Santos Jr."/>
    <d v="2025-12-16T00:00:00"/>
    <d v="2027-04-27T00:00:00"/>
    <n v="450000"/>
    <n v="450500"/>
    <n v="450000"/>
    <s v="NÃO"/>
    <m/>
    <s v="SIM"/>
    <s v="SIM"/>
    <x v="0"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n v="5400020250017"/>
    <s v="Florentino Neto"/>
    <d v="2025-12-30T00:00:00"/>
    <d v="2027-04-30T00:00:00"/>
    <n v="500000"/>
    <n v="505000"/>
    <n v="500000"/>
    <s v="NÃO"/>
    <m/>
    <s v="SIM"/>
    <s v="SIM"/>
    <x v="0"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n v="5400020250017"/>
    <s v="Julio Arcoverde"/>
    <d v="2025-12-24T00:00:00"/>
    <d v="2027-12-24T00:00:00"/>
    <n v="10000000"/>
    <n v="10030000"/>
    <n v="10000000"/>
    <s v="NÃO"/>
    <m/>
    <s v="SIM"/>
    <s v="SIM"/>
    <x v="0"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n v="5400020250017"/>
    <s v="Dilvanda Faro"/>
    <d v="2025-12-17T00:00:00"/>
    <d v="2027-12-17T00:00:00"/>
    <n v="1500000"/>
    <n v="1502000"/>
    <n v="1500000"/>
    <s v="SIM"/>
    <n v="1500000"/>
    <s v="SIM"/>
    <s v="SIM"/>
    <x v="0"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n v="5400020250017"/>
    <s v="Deputado Federal David Soares"/>
    <d v="2025-12-24T00:00:00"/>
    <d v="2028-09-30T00:00:00"/>
    <n v="1700000"/>
    <n v="1734000"/>
    <n v="1700000"/>
    <s v="NÃO"/>
    <m/>
    <s v="NÃO"/>
    <s v="NÃO"/>
    <x v="5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n v="5400020250019"/>
    <s v="Rogério Marinho"/>
    <d v="2025-11-01T00:00:00"/>
    <d v="2027-11-30T00:00:00"/>
    <n v="500000"/>
    <n v="500000"/>
    <n v="500000"/>
    <s v="SIM"/>
    <n v="500000"/>
    <s v="SIM"/>
    <s v="SIM"/>
    <x v="0"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n v="5400020260018"/>
    <s v="MINISTRO"/>
    <d v="2026-06-15T00:00:00"/>
    <d v="2027-06-15T00:00:00"/>
    <n v="1000000"/>
    <n v="1010000"/>
    <n v="1000000"/>
    <s v="NÃO"/>
    <m/>
    <s v="EM EXECUÇÃO"/>
    <s v="EM EXECUÇÃO"/>
    <x v="7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n v="5400020260018"/>
    <s v="MINISTRO"/>
    <d v="2026-12-10T00:00:00"/>
    <d v="2027-12-10T00:00:00"/>
    <n v="1000000"/>
    <n v="1010000"/>
    <n v="1000000"/>
    <s v="NÃO"/>
    <m/>
    <s v="EM COMPLEMENTAÇÃO"/>
    <s v="EM COMPLEMENTAÇÃO"/>
    <x v="8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n v="5400020260017"/>
    <s v="Rogério Marinho"/>
    <d v="2026-12-01T00:00:00"/>
    <d v="2027-11-30T00:00:00"/>
    <n v="500000"/>
    <n v="525000"/>
    <n v="500000"/>
    <s v="NÃO"/>
    <m/>
    <s v="EM COMPLEMENTAÇÃO"/>
    <s v="EM COMPLEMENTAÇÃO"/>
    <x v="0"/>
  </r>
  <r>
    <x v="2"/>
    <x v="30"/>
    <s v="RN"/>
    <s v="Nísia Floresta"/>
    <x v="33"/>
    <s v="026609/2026"/>
    <s v="72031.007272/2026-21"/>
    <s v="Capacitação e Qualificação para o setor de Turismo em Nísia Floresta/RN"/>
    <s v="RP2"/>
    <n v="5400020260018"/>
    <s v="MINISTRO"/>
    <d v="2026-08-03T00:00:00"/>
    <d v="2028-08-30T00:00:00"/>
    <n v="250000"/>
    <n v="263618.48"/>
    <m/>
    <s v="NÃO"/>
    <m/>
    <s v="EM COMPLEMENTAÇÃO"/>
    <s v="EM COMPLEMENTAÇÃO"/>
    <x v="9"/>
  </r>
  <r>
    <x v="2"/>
    <x v="31"/>
    <s v="RN"/>
    <s v="Baía Formosa"/>
    <x v="34"/>
    <s v="034396/2026"/>
    <s v="72031.008655/2026-17"/>
    <m/>
    <s v="RP2"/>
    <n v="5400020260018"/>
    <s v="MINISTRO"/>
    <d v="2026-08-25T00:00:00"/>
    <d v="2028-12-31T00:00:00"/>
    <n v="250000"/>
    <n v="251000"/>
    <m/>
    <s v="NÃO"/>
    <m/>
    <s v="EM COMPLEMENTAÇÃO"/>
    <s v="EM COMPLEMENTAÇÃO"/>
    <x v="9"/>
  </r>
  <r>
    <x v="2"/>
    <x v="32"/>
    <s v="AL"/>
    <s v="Olho D'Agua Do Casado"/>
    <x v="34"/>
    <s v="037153/2026"/>
    <s v="72031.009606/2026-00"/>
    <m/>
    <s v="RP2"/>
    <n v="5400020260018"/>
    <s v="MINISTRO"/>
    <d v="2026-11-01T00:00:00"/>
    <d v="2027-11-01T00:00:00"/>
    <n v="500000"/>
    <n v="550000"/>
    <m/>
    <m/>
    <m/>
    <s v="EM COMPLEMENTAÇÃO"/>
    <s v="EM COMPLEMENTAÇÃO"/>
    <x v="10"/>
  </r>
  <r>
    <x v="2"/>
    <x v="33"/>
    <s v="AL"/>
    <s v="Cajueiro"/>
    <x v="34"/>
    <s v="037443/2026"/>
    <m/>
    <m/>
    <s v="RP2"/>
    <n v="5400020260018"/>
    <s v="MINISTRO"/>
    <d v="2026-10-31T00:00:00"/>
    <d v="2028-10-31T00:00:00"/>
    <n v="500000"/>
    <n v="500600"/>
    <m/>
    <m/>
    <m/>
    <s v="EM COMPLEMENTAÇÃO"/>
    <s v="EM COMPLEMENTAÇÃO"/>
    <x v="0"/>
  </r>
  <r>
    <x v="2"/>
    <x v="34"/>
    <s v="AL"/>
    <s v="São Miguel Dos Campos"/>
    <x v="34"/>
    <s v="037734/2026"/>
    <m/>
    <m/>
    <s v="RP2"/>
    <n v="5400020260018"/>
    <s v="MINISTRO"/>
    <d v="2026-12-30T00:00:00"/>
    <d v="2027-12-30T00:00:00"/>
    <n v="500000"/>
    <n v="505050.51"/>
    <m/>
    <m/>
    <m/>
    <s v="CADASTRADO"/>
    <s v="CADASTRADO"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  <r>
    <x v="3"/>
    <x v="35"/>
    <m/>
    <m/>
    <x v="34"/>
    <m/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Resumo de Convênios 4" cacheId="34" applyNumberFormats="0" applyBorderFormats="0" applyFontFormats="0" applyPatternFormats="0" applyAlignmentFormats="0" applyWidthHeightFormats="0" dataCaption="" updatedVersion="8" rowGrandTotals="0" compact="0" compactData="0">
  <location ref="V1:Y3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>
      <items count="32">
        <item x="20"/>
        <item x="11"/>
        <item x="29"/>
        <item x="22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4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6">
        <item x="0"/>
        <item x="1"/>
        <item x="2"/>
        <item x="3"/>
        <item x="5"/>
        <item x="4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4">
    <field x="0"/>
    <field x="9"/>
    <field x="4"/>
    <field x="1"/>
  </rowFields>
  <rowItems count="30">
    <i>
      <x v="1"/>
      <x v="2"/>
      <x v="6"/>
      <x v="4"/>
    </i>
    <i r="2">
      <x v="7"/>
      <x v="17"/>
    </i>
    <i r="2">
      <x v="8"/>
      <x v="26"/>
    </i>
    <i r="2">
      <x v="9"/>
      <x v="25"/>
    </i>
    <i r="2">
      <x v="10"/>
      <x v="24"/>
    </i>
    <i r="2">
      <x v="11"/>
      <x/>
    </i>
    <i r="2">
      <x v="12"/>
      <x v="21"/>
    </i>
    <i r="2">
      <x v="13"/>
      <x v="14"/>
    </i>
    <i r="2">
      <x v="14"/>
      <x v="3"/>
    </i>
    <i r="2">
      <x v="15"/>
      <x v="5"/>
    </i>
    <i r="2">
      <x v="16"/>
      <x v="16"/>
    </i>
    <i r="2">
      <x v="17"/>
      <x v="8"/>
    </i>
    <i r="2">
      <x v="18"/>
      <x v="19"/>
    </i>
    <i r="2">
      <x v="19"/>
      <x v="15"/>
    </i>
    <i r="2">
      <x v="20"/>
      <x v="12"/>
    </i>
    <i r="2">
      <x v="21"/>
      <x v="7"/>
    </i>
    <i r="2">
      <x v="22"/>
      <x v="6"/>
    </i>
    <i r="2">
      <x v="23"/>
      <x v="22"/>
    </i>
    <i r="2">
      <x v="24"/>
      <x v="20"/>
    </i>
    <i r="2">
      <x v="25"/>
      <x v="9"/>
    </i>
    <i r="2">
      <x v="26"/>
      <x v="1"/>
    </i>
    <i r="2">
      <x v="27"/>
      <x v="11"/>
    </i>
    <i r="2">
      <x v="33"/>
      <x v="15"/>
    </i>
    <i r="1">
      <x v="3"/>
      <x v="5"/>
      <x v="29"/>
    </i>
    <i>
      <x v="2"/>
      <x v="4"/>
      <x/>
      <x v="29"/>
    </i>
    <i r="1">
      <x v="5"/>
      <x v="1"/>
      <x v="2"/>
    </i>
    <i r="2">
      <x v="2"/>
      <x v="13"/>
    </i>
    <i r="2">
      <x v="28"/>
      <x v="10"/>
    </i>
    <i r="2">
      <x v="29"/>
      <x v="18"/>
    </i>
    <i r="2">
      <x v="30"/>
      <x v="23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sumo de Convênios" cacheId="41" applyNumberFormats="0" applyBorderFormats="0" applyFontFormats="0" applyPatternFormats="0" applyAlignmentFormats="0" applyWidthHeightFormats="0" dataCaption="" updatedVersion="8" compact="0" compactData="0">
  <location ref="A1:G37" firstHeaderRow="1" firstDataRow="2" firstDataCol="3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6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5">
    <i>
      <x v="1"/>
      <x v="1"/>
      <x v="11"/>
    </i>
    <i r="1">
      <x v="2"/>
      <x v="26"/>
    </i>
    <i r="1">
      <x v="4"/>
      <x v="14"/>
    </i>
    <i r="1">
      <x v="7"/>
      <x v="6"/>
    </i>
    <i r="1">
      <x v="8"/>
      <x v="15"/>
    </i>
    <i r="1">
      <x v="9"/>
      <x v="22"/>
    </i>
    <i r="1">
      <x v="10"/>
      <x v="21"/>
    </i>
    <i r="1">
      <x v="11"/>
      <x v="17"/>
    </i>
    <i r="1">
      <x v="12"/>
      <x v="25"/>
    </i>
    <i r="1">
      <x v="14"/>
      <x v="27"/>
    </i>
    <i r="1">
      <x v="15"/>
      <x v="20"/>
    </i>
    <i r="1">
      <x v="17"/>
      <x v="13"/>
    </i>
    <i r="1">
      <x v="19"/>
      <x v="19"/>
    </i>
    <i r="2">
      <x v="33"/>
    </i>
    <i r="1">
      <x v="20"/>
      <x v="16"/>
    </i>
    <i r="1">
      <x v="21"/>
      <x v="7"/>
    </i>
    <i r="1">
      <x v="23"/>
      <x v="18"/>
    </i>
    <i r="1">
      <x v="24"/>
      <x v="24"/>
    </i>
    <i r="1">
      <x v="25"/>
      <x v="12"/>
    </i>
    <i r="1">
      <x v="26"/>
      <x v="23"/>
    </i>
    <i r="1">
      <x v="28"/>
      <x v="10"/>
    </i>
    <i r="1">
      <x v="29"/>
      <x v="9"/>
    </i>
    <i r="1">
      <x v="30"/>
      <x v="8"/>
    </i>
    <i r="1">
      <x v="33"/>
      <x v="5"/>
    </i>
    <i>
      <x v="2"/>
      <x/>
      <x v="34"/>
    </i>
    <i r="1">
      <x v="3"/>
      <x v="1"/>
    </i>
    <i r="1">
      <x v="5"/>
      <x v="34"/>
    </i>
    <i r="1">
      <x v="6"/>
      <x v="34"/>
    </i>
    <i r="1">
      <x v="13"/>
      <x v="28"/>
    </i>
    <i r="1">
      <x v="16"/>
      <x v="2"/>
    </i>
    <i r="1">
      <x v="18"/>
      <x v="34"/>
    </i>
    <i r="1">
      <x v="22"/>
      <x v="29"/>
    </i>
    <i r="1">
      <x v="27"/>
      <x v="30"/>
    </i>
    <i r="1">
      <x v="33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Resumo de Convênios 2" cacheId="41" applyNumberFormats="0" applyBorderFormats="0" applyFontFormats="0" applyPatternFormats="0" applyAlignmentFormats="0" applyWidthHeightFormats="0" dataCaption="" updatedVersion="8" rowGrandTotals="0" compact="0" compactData="0">
  <location ref="I1:L35" firstHeaderRow="1" firstDataRow="1" firstDataCol="4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5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axis="axisRow" compact="0" outline="0" multipleItemSelectionAllowed="1" showAll="0" sortType="ascending">
      <items count="12">
        <item x="8"/>
        <item x="5"/>
        <item x="9"/>
        <item x="6"/>
        <item x="7"/>
        <item x="1"/>
        <item x="10"/>
        <item x="4"/>
        <item x="2"/>
        <item x="3"/>
        <item x="0"/>
        <item t="default"/>
      </items>
    </pivotField>
  </pivotFields>
  <rowFields count="4">
    <field x="0"/>
    <field x="1"/>
    <field x="4"/>
    <field x="20"/>
  </rowFields>
  <rowItems count="34">
    <i>
      <x v="1"/>
      <x v="1"/>
      <x v="11"/>
      <x v="10"/>
    </i>
    <i r="1">
      <x v="2"/>
      <x v="26"/>
      <x v="10"/>
    </i>
    <i r="1">
      <x v="4"/>
      <x v="14"/>
      <x v="10"/>
    </i>
    <i r="1">
      <x v="7"/>
      <x v="6"/>
      <x v="10"/>
    </i>
    <i r="1">
      <x v="8"/>
      <x v="15"/>
      <x v="9"/>
    </i>
    <i r="1">
      <x v="9"/>
      <x v="22"/>
      <x v="10"/>
    </i>
    <i r="1">
      <x v="10"/>
      <x v="21"/>
      <x v="1"/>
    </i>
    <i r="1">
      <x v="11"/>
      <x v="17"/>
      <x v="10"/>
    </i>
    <i r="1">
      <x v="12"/>
      <x v="25"/>
      <x v="10"/>
    </i>
    <i r="1">
      <x v="14"/>
      <x v="27"/>
      <x v="10"/>
    </i>
    <i r="1">
      <x v="15"/>
      <x v="20"/>
      <x v="9"/>
    </i>
    <i r="1">
      <x v="17"/>
      <x v="13"/>
      <x v="8"/>
    </i>
    <i r="1">
      <x v="19"/>
      <x v="19"/>
      <x v="10"/>
    </i>
    <i r="2">
      <x v="33"/>
      <x v="7"/>
    </i>
    <i r="1">
      <x v="20"/>
      <x v="16"/>
      <x v="10"/>
    </i>
    <i r="1">
      <x v="21"/>
      <x v="7"/>
      <x v="10"/>
    </i>
    <i r="1">
      <x v="23"/>
      <x v="18"/>
      <x v="5"/>
    </i>
    <i r="1">
      <x v="24"/>
      <x v="24"/>
      <x v="10"/>
    </i>
    <i r="1">
      <x v="25"/>
      <x v="12"/>
      <x v="10"/>
    </i>
    <i r="1">
      <x v="26"/>
      <x v="23"/>
      <x v="10"/>
    </i>
    <i r="1">
      <x v="28"/>
      <x v="10"/>
      <x v="10"/>
    </i>
    <i r="1">
      <x v="29"/>
      <x v="9"/>
      <x v="10"/>
    </i>
    <i r="1">
      <x v="30"/>
      <x v="8"/>
      <x v="10"/>
    </i>
    <i r="1">
      <x v="33"/>
      <x v="5"/>
      <x v="10"/>
    </i>
    <i>
      <x v="2"/>
      <x/>
      <x v="34"/>
      <x v="6"/>
    </i>
    <i r="1">
      <x v="3"/>
      <x v="1"/>
      <x/>
    </i>
    <i r="1">
      <x v="5"/>
      <x v="34"/>
      <x v="2"/>
    </i>
    <i r="1">
      <x v="6"/>
      <x v="34"/>
      <x v="10"/>
    </i>
    <i r="1">
      <x v="13"/>
      <x v="28"/>
      <x v="3"/>
    </i>
    <i r="1">
      <x v="16"/>
      <x v="2"/>
      <x v="2"/>
    </i>
    <i r="1">
      <x v="18"/>
      <x v="34"/>
      <x v="10"/>
    </i>
    <i r="1">
      <x v="22"/>
      <x v="29"/>
      <x v="3"/>
    </i>
    <i r="1">
      <x v="27"/>
      <x v="30"/>
      <x v="4"/>
    </i>
    <i r="1">
      <x v="33"/>
      <x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o de Convênios 3" cacheId="41" applyNumberFormats="0" applyBorderFormats="0" applyFontFormats="0" applyPatternFormats="0" applyAlignmentFormats="0" applyWidthHeightFormats="0" dataCaption="" updatedVersion="8" rowGrandTotals="0" compact="0" compactData="0">
  <location ref="O1:S40" firstHeaderRow="1" firstDataRow="2" firstDataCol="3"/>
  <pivotFields count="21">
    <pivotField name="Ano" axis="axisRow" compact="0" outline="0" multipleItemSelectionAllowed="1" showAll="0" sortType="ascending" defaultSubtotal="0">
      <items count="4">
        <item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6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8">
    <i>
      <x/>
      <x v="26"/>
      <x v="3"/>
    </i>
    <i r="1">
      <x v="31"/>
      <x v="31"/>
    </i>
    <i r="1">
      <x v="32"/>
      <x v="4"/>
    </i>
    <i r="1">
      <x v="34"/>
      <x v="32"/>
    </i>
    <i>
      <x v="1"/>
      <x v="1"/>
      <x v="11"/>
    </i>
    <i r="1">
      <x v="2"/>
      <x v="26"/>
    </i>
    <i r="1">
      <x v="4"/>
      <x v="14"/>
    </i>
    <i r="1">
      <x v="7"/>
      <x v="6"/>
    </i>
    <i r="1">
      <x v="8"/>
      <x v="15"/>
    </i>
    <i r="1">
      <x v="9"/>
      <x v="22"/>
    </i>
    <i r="1">
      <x v="10"/>
      <x v="21"/>
    </i>
    <i r="1">
      <x v="11"/>
      <x v="17"/>
    </i>
    <i r="1">
      <x v="12"/>
      <x v="25"/>
    </i>
    <i r="1">
      <x v="14"/>
      <x v="27"/>
    </i>
    <i r="1">
      <x v="15"/>
      <x v="20"/>
    </i>
    <i r="1">
      <x v="17"/>
      <x v="13"/>
    </i>
    <i r="1">
      <x v="19"/>
      <x v="19"/>
    </i>
    <i r="2">
      <x v="33"/>
    </i>
    <i r="1">
      <x v="20"/>
      <x v="16"/>
    </i>
    <i r="1">
      <x v="21"/>
      <x v="7"/>
    </i>
    <i r="1">
      <x v="23"/>
      <x v="18"/>
    </i>
    <i r="1">
      <x v="24"/>
      <x v="24"/>
    </i>
    <i r="1">
      <x v="25"/>
      <x v="12"/>
    </i>
    <i r="1">
      <x v="26"/>
      <x v="23"/>
    </i>
    <i r="1">
      <x v="28"/>
      <x v="10"/>
    </i>
    <i r="1">
      <x v="29"/>
      <x v="9"/>
    </i>
    <i r="1">
      <x v="30"/>
      <x v="8"/>
    </i>
    <i r="1">
      <x v="33"/>
      <x v="5"/>
    </i>
    <i>
      <x v="2"/>
      <x/>
      <x v="34"/>
    </i>
    <i r="1">
      <x v="3"/>
      <x v="1"/>
    </i>
    <i r="1">
      <x v="5"/>
      <x v="34"/>
    </i>
    <i r="1">
      <x v="6"/>
      <x v="34"/>
    </i>
    <i r="1">
      <x v="13"/>
      <x v="28"/>
    </i>
    <i r="1">
      <x v="16"/>
      <x v="2"/>
    </i>
    <i r="1">
      <x v="18"/>
      <x v="34"/>
    </i>
    <i r="1">
      <x v="22"/>
      <x v="29"/>
    </i>
    <i r="1">
      <x v="27"/>
      <x v="30"/>
    </i>
    <i r="1">
      <x v="33"/>
      <x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Resumo de Fomentos 3" cacheId="21" applyNumberFormats="0" applyBorderFormats="0" applyFontFormats="0" applyPatternFormats="0" applyAlignmentFormats="0" applyWidthHeightFormats="0" dataCaption="" updatedVersion="8" rowGrandTotals="0" compact="0" compactData="0">
  <location ref="Q1:U13" firstHeaderRow="1" firstDataRow="2" firstDataCol="3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12">
        <item x="9"/>
        <item x="0"/>
        <item x="4"/>
        <item x="6"/>
        <item x="7"/>
        <item x="5"/>
        <item x="3"/>
        <item x="2"/>
        <item x="1"/>
        <item x="10"/>
        <item x="8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4"/>
  </rowFields>
  <rowItems count="11">
    <i>
      <x/>
      <x v="2"/>
      <x v="1"/>
    </i>
    <i>
      <x v="1"/>
      <x v="3"/>
      <x v="4"/>
    </i>
    <i r="1">
      <x v="4"/>
      <x v="6"/>
    </i>
    <i r="1">
      <x v="5"/>
      <x v="5"/>
    </i>
    <i r="1">
      <x v="6"/>
      <x v="8"/>
    </i>
    <i r="1">
      <x v="7"/>
      <x v="2"/>
    </i>
    <i r="1">
      <x v="8"/>
      <x v="7"/>
    </i>
    <i r="1">
      <x v="9"/>
      <x v="3"/>
    </i>
    <i>
      <x v="2"/>
      <x/>
      <x v="9"/>
    </i>
    <i r="1">
      <x v="1"/>
      <x/>
    </i>
    <i r="1">
      <x v="10"/>
      <x v="10"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Resumo de Fomentos 4" cacheId="21" applyNumberFormats="0" applyBorderFormats="0" applyFontFormats="0" applyPatternFormats="0" applyAlignmentFormats="0" applyWidthHeightFormats="0" dataCaption="" updatedVersion="8" rowGrandTotals="0" compact="0" compactData="0">
  <location ref="X1:AA12" firstHeaderRow="1" firstDataRow="1" firstDataCol="4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>
      <items count="12"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4">
        <item x="0"/>
        <item x="1"/>
        <item x="3"/>
        <item x="2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4">
    <field x="0"/>
    <field x="9"/>
    <field x="4"/>
    <field x="1"/>
  </rowFields>
  <rowItems count="11">
    <i>
      <x/>
      <x/>
      <x v="1"/>
      <x v="2"/>
    </i>
    <i>
      <x v="1"/>
      <x v="1"/>
      <x v="2"/>
      <x v="7"/>
    </i>
    <i r="2">
      <x v="3"/>
      <x v="9"/>
    </i>
    <i r="2">
      <x v="4"/>
      <x v="3"/>
    </i>
    <i r="2">
      <x v="5"/>
      <x v="5"/>
    </i>
    <i r="2">
      <x v="6"/>
      <x v="4"/>
    </i>
    <i r="2">
      <x v="7"/>
      <x v="8"/>
    </i>
    <i r="2">
      <x v="8"/>
      <x v="6"/>
    </i>
    <i>
      <x v="2"/>
      <x v="2"/>
      <x v="9"/>
      <x/>
    </i>
    <i r="1">
      <x v="3"/>
      <x/>
      <x v="1"/>
    </i>
    <i r="2">
      <x v="10"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Resumo de Fomentos" cacheId="27" applyNumberFormats="0" applyBorderFormats="0" applyFontFormats="0" applyPatternFormats="0" applyAlignmentFormats="0" applyWidthHeightFormats="0" dataCaption="" updatedVersion="8" compact="0" compactData="0">
  <location ref="A1:G14" firstHeaderRow="1" firstDataRow="2" firstDataCol="3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2"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compact="0" outline="0" multipleItemSelectionAllowed="1" showAll="0"/>
    <pivotField name="Número da Proposta" axis="axisRow" compact="0" outline="0" multipleItemSelectionAllowed="1" showAll="0" sortType="ascending">
      <items count="13"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5"/>
  </rowFields>
  <rowItems count="12">
    <i>
      <x v="1"/>
      <x v="3"/>
      <x v="5"/>
    </i>
    <i r="1">
      <x v="4"/>
      <x v="9"/>
    </i>
    <i r="1">
      <x v="5"/>
      <x v="7"/>
    </i>
    <i r="1">
      <x v="6"/>
      <x v="11"/>
    </i>
    <i r="1">
      <x v="7"/>
      <x v="8"/>
    </i>
    <i r="1">
      <x v="8"/>
      <x v="10"/>
    </i>
    <i r="1">
      <x v="10"/>
      <x v="6"/>
    </i>
    <i>
      <x v="2"/>
      <x/>
      <x/>
    </i>
    <i r="1">
      <x v="1"/>
      <x v="2"/>
    </i>
    <i r="1">
      <x v="9"/>
      <x v="3"/>
    </i>
    <i r="1">
      <x v="1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Resumo de Fomentos 2" cacheId="21" applyNumberFormats="0" applyBorderFormats="0" applyFontFormats="0" applyPatternFormats="0" applyAlignmentFormats="0" applyWidthHeightFormats="0" dataCaption="" updatedVersion="8" rowGrandTotals="0" compact="0" compactData="0">
  <location ref="J1:M1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axis="axisRow" compact="0" outline="0" multipleItemSelectionAllowed="1" showAll="0" sortType="ascending">
      <items count="6">
        <item x="4"/>
        <item x="2"/>
        <item x="0"/>
        <item x="3"/>
        <item x="1"/>
        <item t="default"/>
      </items>
    </pivotField>
  </pivotFields>
  <rowFields count="4">
    <field x="0"/>
    <field x="1"/>
    <field x="4"/>
    <field x="20"/>
  </rowFields>
  <rowItems count="10">
    <i>
      <x v="1"/>
      <x v="3"/>
      <x v="4"/>
      <x v="4"/>
    </i>
    <i r="1">
      <x v="4"/>
      <x v="6"/>
      <x v="4"/>
    </i>
    <i r="1">
      <x v="5"/>
      <x v="5"/>
      <x v="4"/>
    </i>
    <i r="1">
      <x v="6"/>
      <x v="8"/>
      <x v="4"/>
    </i>
    <i r="1">
      <x v="7"/>
      <x v="2"/>
      <x v="4"/>
    </i>
    <i r="1">
      <x v="8"/>
      <x v="7"/>
      <x v="4"/>
    </i>
    <i r="1">
      <x v="9"/>
      <x v="3"/>
      <x v="4"/>
    </i>
    <i>
      <x v="2"/>
      <x/>
      <x v="9"/>
      <x/>
    </i>
    <i r="1">
      <x v="1"/>
      <x/>
      <x v="3"/>
    </i>
    <i r="1">
      <x v="10"/>
      <x v="10"/>
      <x v="1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8000000}" name="Tabela dinâmica 1" cacheId="13" applyNumberFormats="0" applyBorderFormats="0" applyFontFormats="0" applyPatternFormats="0" applyAlignmentFormats="0" applyWidthHeightFormats="0" dataCaption="" updatedVersion="8" compact="0" compactData="0">
  <location ref="A1:C7" firstHeaderRow="1" firstDataRow="2" firstDataCol="1"/>
  <pivotFields count="15">
    <pivotField name="Ano" compact="0" outline="0" multipleItemSelectionAllowed="1" showAll="0"/>
    <pivotField name="Nome do proponente" axis="axisRow" compact="0" outline="0" multipleItemSelectionAllowed="1" showAll="0" sortType="ascending">
      <items count="5">
        <item x="3"/>
        <item x="0"/>
        <item x="1"/>
        <item x="2"/>
        <item t="default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o processo SEI" compact="0" outline="0" multipleItemSelectionAllowed="1" showAll="0"/>
    <pivotField name="Modalidade" compact="0" outline="0" multipleItemSelectionAllowed="1" showAll="0"/>
    <pivotField name="Parlamentar Solicitante" compact="0" outline="0" multipleItemSelectionAllowed="1" showAll="0"/>
    <pivotField name="Data Início de Vigência" compact="0" numFmtId="14" outline="0" multipleItemSelectionAllowed="1" showAll="0"/>
    <pivotField name="Data Término de Vigência Atual" compact="0" numFmtId="14" outline="0" multipleItemSelectionAllowed="1" showAll="0"/>
    <pivotField name="Valor Total do Plano de Ação" compact="0" numFmtId="165" outline="0" multipleItemSelectionAllowed="1" showAll="0"/>
    <pivotField name="Valor Global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ituação" compact="0" outline="0" multipleItemSelectionAllowed="1" showAll="0"/>
    <pivotField name="Observações" compact="0" outline="0" multipleItemSelectionAllowe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Global" fld="10" baseField="0"/>
    <dataField name="Valor Já Repassado (MTur)" fld="12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55CC"/>
    <outlinePr summaryBelow="0" summaryRight="0"/>
    <pageSetUpPr fitToPage="1"/>
  </sheetPr>
  <dimension ref="A1:AM1006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1.25" defaultRowHeight="15.75" customHeight="1"/>
  <cols>
    <col min="2" max="2" width="47.875" customWidth="1"/>
    <col min="3" max="3" width="13.125" customWidth="1"/>
    <col min="4" max="4" width="17.375" customWidth="1"/>
    <col min="5" max="5" width="21.5" customWidth="1"/>
    <col min="6" max="6" width="12.625" customWidth="1"/>
    <col min="7" max="7" width="21.375" customWidth="1"/>
    <col min="8" max="8" width="8.625" hidden="1" customWidth="1"/>
    <col min="9" max="9" width="12.875" customWidth="1"/>
    <col min="10" max="10" width="15.75" customWidth="1"/>
    <col min="11" max="11" width="24.375" customWidth="1"/>
    <col min="12" max="12" width="12.625" customWidth="1"/>
    <col min="13" max="13" width="14.375" customWidth="1"/>
    <col min="14" max="14" width="15.25" customWidth="1"/>
    <col min="15" max="15" width="17.5" customWidth="1"/>
    <col min="16" max="16" width="15.875" customWidth="1"/>
    <col min="17" max="17" width="13.25" customWidth="1"/>
    <col min="18" max="18" width="14.375" customWidth="1"/>
    <col min="19" max="19" width="17.75" customWidth="1"/>
    <col min="20" max="20" width="16.125" customWidth="1"/>
    <col min="21" max="21" width="46" customWidth="1"/>
    <col min="22" max="22" width="14.375" customWidth="1"/>
    <col min="23" max="23" width="28.75" customWidth="1"/>
    <col min="25" max="26" width="12.25" customWidth="1"/>
  </cols>
  <sheetData>
    <row r="1" spans="1:39" ht="12.75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2</v>
      </c>
      <c r="T1" s="48"/>
      <c r="U1" s="1" t="s">
        <v>3</v>
      </c>
      <c r="V1" s="46" t="s">
        <v>4</v>
      </c>
      <c r="W1" s="48"/>
      <c r="X1" s="1"/>
    </row>
    <row r="2" spans="1:39" ht="38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3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27</v>
      </c>
      <c r="W2" s="2" t="s">
        <v>28</v>
      </c>
      <c r="X2" s="2" t="s">
        <v>29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39" ht="25.5">
      <c r="A3" s="5">
        <v>2024</v>
      </c>
      <c r="B3" s="6" t="s">
        <v>30</v>
      </c>
      <c r="C3" s="5" t="s">
        <v>31</v>
      </c>
      <c r="D3" s="5" t="s">
        <v>32</v>
      </c>
      <c r="E3" s="5" t="s">
        <v>33</v>
      </c>
      <c r="F3" s="5" t="s">
        <v>34</v>
      </c>
      <c r="G3" s="5" t="s">
        <v>35</v>
      </c>
      <c r="H3" s="7" t="s">
        <v>36</v>
      </c>
      <c r="I3" s="5" t="s">
        <v>37</v>
      </c>
      <c r="J3" s="5">
        <v>5400020240008</v>
      </c>
      <c r="K3" s="6" t="s">
        <v>38</v>
      </c>
      <c r="L3" s="8">
        <v>45639</v>
      </c>
      <c r="M3" s="9">
        <v>46551</v>
      </c>
      <c r="N3" s="10">
        <v>500000</v>
      </c>
      <c r="O3" s="10">
        <v>546039.72</v>
      </c>
      <c r="P3" s="10">
        <v>500000</v>
      </c>
      <c r="Q3" s="6" t="s">
        <v>41</v>
      </c>
      <c r="R3" s="10">
        <v>500000</v>
      </c>
      <c r="S3" s="6" t="s">
        <v>41</v>
      </c>
      <c r="T3" s="6" t="s">
        <v>41</v>
      </c>
      <c r="U3" s="5"/>
      <c r="V3" s="5" t="s">
        <v>46</v>
      </c>
      <c r="W3" s="5" t="s">
        <v>47</v>
      </c>
      <c r="X3" s="9">
        <v>45968</v>
      </c>
    </row>
    <row r="4" spans="1:39" ht="25.5">
      <c r="A4" s="5">
        <v>2024</v>
      </c>
      <c r="B4" s="6" t="s">
        <v>49</v>
      </c>
      <c r="C4" s="5" t="s">
        <v>31</v>
      </c>
      <c r="D4" s="5" t="s">
        <v>32</v>
      </c>
      <c r="E4" s="5" t="s">
        <v>50</v>
      </c>
      <c r="F4" s="5" t="s">
        <v>51</v>
      </c>
      <c r="G4" s="5" t="s">
        <v>52</v>
      </c>
      <c r="H4" s="7" t="s">
        <v>53</v>
      </c>
      <c r="I4" s="5" t="s">
        <v>37</v>
      </c>
      <c r="J4" s="5">
        <v>5400020240008</v>
      </c>
      <c r="K4" s="6" t="s">
        <v>54</v>
      </c>
      <c r="L4" s="8">
        <v>45649</v>
      </c>
      <c r="M4" s="9">
        <v>46387</v>
      </c>
      <c r="N4" s="10">
        <v>1000000</v>
      </c>
      <c r="O4" s="10">
        <v>1000000</v>
      </c>
      <c r="P4" s="10">
        <v>1000000</v>
      </c>
      <c r="Q4" s="6" t="s">
        <v>41</v>
      </c>
      <c r="R4" s="10">
        <v>1000000</v>
      </c>
      <c r="S4" s="6" t="s">
        <v>41</v>
      </c>
      <c r="T4" s="6" t="s">
        <v>41</v>
      </c>
      <c r="U4" s="5"/>
      <c r="V4" s="5" t="s">
        <v>55</v>
      </c>
      <c r="W4" s="5" t="s">
        <v>56</v>
      </c>
      <c r="X4" s="9">
        <v>45802</v>
      </c>
    </row>
    <row r="5" spans="1:39" ht="25.5">
      <c r="A5" s="5">
        <v>2024</v>
      </c>
      <c r="B5" s="6" t="s">
        <v>57</v>
      </c>
      <c r="C5" s="5" t="s">
        <v>58</v>
      </c>
      <c r="D5" s="5" t="s">
        <v>59</v>
      </c>
      <c r="E5" s="5" t="s">
        <v>60</v>
      </c>
      <c r="F5" s="5" t="s">
        <v>61</v>
      </c>
      <c r="G5" s="5" t="s">
        <v>62</v>
      </c>
      <c r="H5" s="7" t="s">
        <v>63</v>
      </c>
      <c r="I5" s="5" t="s">
        <v>37</v>
      </c>
      <c r="J5" s="5">
        <v>5400020240008</v>
      </c>
      <c r="K5" s="6" t="s">
        <v>64</v>
      </c>
      <c r="L5" s="8">
        <v>45644</v>
      </c>
      <c r="M5" s="9">
        <v>46739</v>
      </c>
      <c r="N5" s="10">
        <v>1000000</v>
      </c>
      <c r="O5" s="10">
        <v>1050000</v>
      </c>
      <c r="P5" s="10">
        <v>1000000</v>
      </c>
      <c r="Q5" s="6" t="s">
        <v>41</v>
      </c>
      <c r="R5" s="10">
        <v>1000000</v>
      </c>
      <c r="S5" s="6" t="s">
        <v>41</v>
      </c>
      <c r="T5" s="6" t="s">
        <v>41</v>
      </c>
      <c r="U5" s="5"/>
      <c r="V5" s="5" t="s">
        <v>65</v>
      </c>
      <c r="W5" s="5" t="s">
        <v>66</v>
      </c>
      <c r="X5" s="9">
        <v>45699</v>
      </c>
    </row>
    <row r="6" spans="1:39" ht="25.5">
      <c r="A6" s="5">
        <v>2024</v>
      </c>
      <c r="B6" s="6" t="s">
        <v>67</v>
      </c>
      <c r="C6" s="5" t="s">
        <v>68</v>
      </c>
      <c r="D6" s="5" t="s">
        <v>69</v>
      </c>
      <c r="E6" s="5" t="s">
        <v>70</v>
      </c>
      <c r="F6" s="5" t="s">
        <v>71</v>
      </c>
      <c r="G6" s="5" t="s">
        <v>72</v>
      </c>
      <c r="H6" s="7" t="s">
        <v>73</v>
      </c>
      <c r="I6" s="5" t="s">
        <v>74</v>
      </c>
      <c r="J6" s="5">
        <v>5400020240012</v>
      </c>
      <c r="K6" s="6" t="s">
        <v>75</v>
      </c>
      <c r="L6" s="8">
        <v>45657</v>
      </c>
      <c r="M6" s="9">
        <v>46386</v>
      </c>
      <c r="N6" s="10">
        <v>1000000</v>
      </c>
      <c r="O6" s="10">
        <v>1020000</v>
      </c>
      <c r="P6" s="10">
        <v>1000000</v>
      </c>
      <c r="Q6" s="6" t="s">
        <v>76</v>
      </c>
      <c r="R6" s="10"/>
      <c r="S6" s="6" t="s">
        <v>41</v>
      </c>
      <c r="T6" s="6" t="s">
        <v>41</v>
      </c>
      <c r="U6" s="5"/>
      <c r="V6" s="5" t="s">
        <v>77</v>
      </c>
      <c r="W6" s="5" t="s">
        <v>78</v>
      </c>
      <c r="X6" s="9"/>
    </row>
    <row r="7" spans="1:39" ht="25.5">
      <c r="A7" s="5">
        <v>2025</v>
      </c>
      <c r="B7" s="6" t="s">
        <v>79</v>
      </c>
      <c r="C7" s="5" t="s">
        <v>80</v>
      </c>
      <c r="D7" s="5" t="s">
        <v>81</v>
      </c>
      <c r="E7" s="5" t="s">
        <v>82</v>
      </c>
      <c r="F7" s="5" t="s">
        <v>83</v>
      </c>
      <c r="G7" s="5" t="s">
        <v>84</v>
      </c>
      <c r="H7" s="7" t="s">
        <v>85</v>
      </c>
      <c r="I7" s="5" t="s">
        <v>87</v>
      </c>
      <c r="J7" s="5">
        <v>5400020250017</v>
      </c>
      <c r="K7" s="6" t="s">
        <v>88</v>
      </c>
      <c r="L7" s="8">
        <v>46022</v>
      </c>
      <c r="M7" s="9">
        <v>46507</v>
      </c>
      <c r="N7" s="10">
        <v>450000</v>
      </c>
      <c r="O7" s="10">
        <v>455000</v>
      </c>
      <c r="P7" s="10">
        <v>450000</v>
      </c>
      <c r="Q7" s="6" t="s">
        <v>76</v>
      </c>
      <c r="R7" s="10"/>
      <c r="S7" s="6" t="s">
        <v>76</v>
      </c>
      <c r="T7" s="6" t="s">
        <v>76</v>
      </c>
      <c r="U7" s="5" t="s">
        <v>93</v>
      </c>
      <c r="V7" s="5" t="s">
        <v>95</v>
      </c>
      <c r="W7" s="5" t="s">
        <v>96</v>
      </c>
      <c r="X7" s="9"/>
    </row>
    <row r="8" spans="1:39" ht="25.5">
      <c r="A8" s="5">
        <v>2025</v>
      </c>
      <c r="B8" s="6" t="s">
        <v>99</v>
      </c>
      <c r="C8" s="5" t="s">
        <v>100</v>
      </c>
      <c r="D8" s="5" t="s">
        <v>102</v>
      </c>
      <c r="E8" s="5" t="s">
        <v>103</v>
      </c>
      <c r="F8" s="5" t="s">
        <v>105</v>
      </c>
      <c r="G8" s="5" t="s">
        <v>106</v>
      </c>
      <c r="H8" s="7" t="s">
        <v>107</v>
      </c>
      <c r="I8" s="5" t="s">
        <v>87</v>
      </c>
      <c r="J8" s="5">
        <v>5400020250017</v>
      </c>
      <c r="K8" s="6" t="s">
        <v>108</v>
      </c>
      <c r="L8" s="8">
        <v>46010</v>
      </c>
      <c r="M8" s="8">
        <v>46740</v>
      </c>
      <c r="N8" s="10">
        <v>450000</v>
      </c>
      <c r="O8" s="10">
        <v>455377.26</v>
      </c>
      <c r="P8" s="10">
        <v>450000</v>
      </c>
      <c r="Q8" s="6" t="s">
        <v>76</v>
      </c>
      <c r="R8" s="10"/>
      <c r="S8" s="6" t="s">
        <v>76</v>
      </c>
      <c r="T8" s="6" t="s">
        <v>76</v>
      </c>
      <c r="U8" s="5" t="s">
        <v>110</v>
      </c>
      <c r="V8" s="5" t="s">
        <v>111</v>
      </c>
      <c r="W8" s="5" t="s">
        <v>112</v>
      </c>
      <c r="X8" s="9"/>
    </row>
    <row r="9" spans="1:39" ht="25.5">
      <c r="A9" s="5">
        <v>2025</v>
      </c>
      <c r="B9" s="6" t="s">
        <v>113</v>
      </c>
      <c r="C9" s="5" t="s">
        <v>31</v>
      </c>
      <c r="D9" s="5" t="s">
        <v>32</v>
      </c>
      <c r="E9" s="5" t="s">
        <v>114</v>
      </c>
      <c r="F9" s="5" t="s">
        <v>115</v>
      </c>
      <c r="G9" s="5" t="s">
        <v>116</v>
      </c>
      <c r="H9" s="7" t="s">
        <v>117</v>
      </c>
      <c r="I9" s="5" t="s">
        <v>87</v>
      </c>
      <c r="J9" s="5">
        <v>5400020250017</v>
      </c>
      <c r="K9" s="6" t="s">
        <v>118</v>
      </c>
      <c r="L9" s="8">
        <v>46014</v>
      </c>
      <c r="M9" s="8">
        <v>46744</v>
      </c>
      <c r="N9" s="10">
        <v>2994000</v>
      </c>
      <c r="O9" s="10">
        <v>3000000</v>
      </c>
      <c r="P9" s="10">
        <v>2994000</v>
      </c>
      <c r="Q9" s="6" t="s">
        <v>76</v>
      </c>
      <c r="R9" s="10"/>
      <c r="S9" s="6" t="s">
        <v>41</v>
      </c>
      <c r="T9" s="6" t="s">
        <v>41</v>
      </c>
      <c r="U9" s="5"/>
      <c r="V9" s="5" t="s">
        <v>122</v>
      </c>
      <c r="W9" s="5" t="s">
        <v>124</v>
      </c>
      <c r="X9" s="9"/>
    </row>
    <row r="10" spans="1:39" ht="25.5">
      <c r="A10" s="5">
        <v>2025</v>
      </c>
      <c r="B10" s="6" t="s">
        <v>127</v>
      </c>
      <c r="C10" s="5" t="s">
        <v>128</v>
      </c>
      <c r="D10" s="5" t="s">
        <v>130</v>
      </c>
      <c r="E10" s="5" t="s">
        <v>131</v>
      </c>
      <c r="F10" s="5" t="s">
        <v>133</v>
      </c>
      <c r="G10" s="5" t="s">
        <v>134</v>
      </c>
      <c r="H10" s="7" t="s">
        <v>136</v>
      </c>
      <c r="I10" s="5" t="s">
        <v>87</v>
      </c>
      <c r="J10" s="5">
        <v>5400020250017</v>
      </c>
      <c r="K10" s="6" t="s">
        <v>137</v>
      </c>
      <c r="L10" s="8">
        <v>46009</v>
      </c>
      <c r="M10" s="8">
        <v>46739</v>
      </c>
      <c r="N10" s="10">
        <v>990000</v>
      </c>
      <c r="O10" s="10">
        <v>1000000</v>
      </c>
      <c r="P10" s="10">
        <v>1000000</v>
      </c>
      <c r="Q10" s="6" t="s">
        <v>76</v>
      </c>
      <c r="R10" s="10"/>
      <c r="S10" s="6" t="s">
        <v>41</v>
      </c>
      <c r="T10" s="6" t="s">
        <v>41</v>
      </c>
      <c r="U10" s="5"/>
      <c r="V10" s="5" t="s">
        <v>138</v>
      </c>
      <c r="W10" s="5" t="s">
        <v>139</v>
      </c>
      <c r="X10" s="9"/>
    </row>
    <row r="11" spans="1:39" ht="25.5">
      <c r="A11" s="5">
        <v>2025</v>
      </c>
      <c r="B11" s="6" t="s">
        <v>140</v>
      </c>
      <c r="C11" s="5" t="s">
        <v>141</v>
      </c>
      <c r="D11" s="5" t="s">
        <v>142</v>
      </c>
      <c r="E11" s="5" t="s">
        <v>143</v>
      </c>
      <c r="F11" s="5" t="s">
        <v>144</v>
      </c>
      <c r="G11" s="5" t="s">
        <v>145</v>
      </c>
      <c r="H11" s="7" t="s">
        <v>136</v>
      </c>
      <c r="I11" s="5" t="s">
        <v>87</v>
      </c>
      <c r="J11" s="5">
        <v>5400020250017</v>
      </c>
      <c r="K11" s="6" t="s">
        <v>147</v>
      </c>
      <c r="L11" s="8">
        <v>46013</v>
      </c>
      <c r="M11" s="8">
        <v>46741</v>
      </c>
      <c r="N11" s="10">
        <v>700000</v>
      </c>
      <c r="O11" s="10">
        <v>707000</v>
      </c>
      <c r="P11" s="10">
        <v>700000</v>
      </c>
      <c r="Q11" s="6" t="s">
        <v>76</v>
      </c>
      <c r="R11" s="10"/>
      <c r="S11" s="6" t="s">
        <v>41</v>
      </c>
      <c r="T11" s="6" t="s">
        <v>41</v>
      </c>
      <c r="U11" s="5"/>
      <c r="V11" s="5" t="s">
        <v>153</v>
      </c>
      <c r="W11" s="5" t="s">
        <v>155</v>
      </c>
      <c r="X11" s="9"/>
    </row>
    <row r="12" spans="1:39" ht="25.5">
      <c r="A12" s="5">
        <v>2025</v>
      </c>
      <c r="B12" s="6" t="s">
        <v>158</v>
      </c>
      <c r="C12" s="5" t="s">
        <v>58</v>
      </c>
      <c r="D12" s="5" t="s">
        <v>159</v>
      </c>
      <c r="E12" s="5" t="s">
        <v>160</v>
      </c>
      <c r="F12" s="5" t="s">
        <v>161</v>
      </c>
      <c r="G12" s="5" t="s">
        <v>163</v>
      </c>
      <c r="H12" s="7" t="s">
        <v>164</v>
      </c>
      <c r="I12" s="5" t="s">
        <v>87</v>
      </c>
      <c r="J12" s="5">
        <v>5400020250017</v>
      </c>
      <c r="K12" s="6" t="s">
        <v>165</v>
      </c>
      <c r="L12" s="8">
        <v>46008</v>
      </c>
      <c r="M12" s="8">
        <v>46738</v>
      </c>
      <c r="N12" s="10">
        <v>1300000</v>
      </c>
      <c r="O12" s="10">
        <v>1301400</v>
      </c>
      <c r="P12" s="10">
        <v>1300000</v>
      </c>
      <c r="Q12" s="6" t="s">
        <v>76</v>
      </c>
      <c r="R12" s="10"/>
      <c r="S12" s="6" t="s">
        <v>76</v>
      </c>
      <c r="T12" s="6" t="s">
        <v>76</v>
      </c>
      <c r="U12" s="5" t="s">
        <v>166</v>
      </c>
      <c r="V12" s="5" t="s">
        <v>167</v>
      </c>
      <c r="W12" s="5" t="s">
        <v>168</v>
      </c>
      <c r="X12" s="9"/>
    </row>
    <row r="13" spans="1:39" ht="25.5">
      <c r="A13" s="5">
        <v>2025</v>
      </c>
      <c r="B13" s="6" t="s">
        <v>169</v>
      </c>
      <c r="C13" s="5" t="s">
        <v>170</v>
      </c>
      <c r="D13" s="5" t="s">
        <v>171</v>
      </c>
      <c r="E13" s="5" t="s">
        <v>173</v>
      </c>
      <c r="F13" s="5" t="s">
        <v>174</v>
      </c>
      <c r="G13" s="5" t="s">
        <v>176</v>
      </c>
      <c r="H13" s="7" t="s">
        <v>177</v>
      </c>
      <c r="I13" s="5" t="s">
        <v>87</v>
      </c>
      <c r="J13" s="5">
        <v>5400020250017</v>
      </c>
      <c r="K13" s="6" t="s">
        <v>178</v>
      </c>
      <c r="L13" s="8">
        <v>46010</v>
      </c>
      <c r="M13" s="8">
        <v>46740</v>
      </c>
      <c r="N13" s="10">
        <v>500000</v>
      </c>
      <c r="O13" s="10">
        <v>505000</v>
      </c>
      <c r="P13" s="10">
        <v>500000</v>
      </c>
      <c r="Q13" s="6" t="s">
        <v>76</v>
      </c>
      <c r="R13" s="10"/>
      <c r="S13" s="6" t="s">
        <v>41</v>
      </c>
      <c r="T13" s="6" t="s">
        <v>41</v>
      </c>
      <c r="U13" s="5"/>
      <c r="V13" s="5" t="s">
        <v>184</v>
      </c>
      <c r="W13" s="5" t="s">
        <v>186</v>
      </c>
      <c r="X13" s="9"/>
    </row>
    <row r="14" spans="1:39" ht="25.5">
      <c r="A14" s="5">
        <v>2025</v>
      </c>
      <c r="B14" s="6" t="s">
        <v>187</v>
      </c>
      <c r="C14" s="5" t="s">
        <v>188</v>
      </c>
      <c r="D14" s="5" t="s">
        <v>189</v>
      </c>
      <c r="E14" s="5" t="s">
        <v>190</v>
      </c>
      <c r="F14" s="5" t="s">
        <v>191</v>
      </c>
      <c r="G14" s="5" t="s">
        <v>192</v>
      </c>
      <c r="H14" s="7" t="s">
        <v>193</v>
      </c>
      <c r="I14" s="5" t="s">
        <v>87</v>
      </c>
      <c r="J14" s="5">
        <v>5400020250017</v>
      </c>
      <c r="K14" s="6" t="s">
        <v>194</v>
      </c>
      <c r="L14" s="8">
        <v>46021</v>
      </c>
      <c r="M14" s="8">
        <v>46752</v>
      </c>
      <c r="N14" s="10">
        <v>500000</v>
      </c>
      <c r="O14" s="10">
        <v>500500.5</v>
      </c>
      <c r="P14" s="10">
        <v>500000</v>
      </c>
      <c r="Q14" s="6" t="s">
        <v>76</v>
      </c>
      <c r="R14" s="10"/>
      <c r="S14" s="6" t="s">
        <v>41</v>
      </c>
      <c r="T14" s="6" t="s">
        <v>41</v>
      </c>
      <c r="U14" s="5"/>
      <c r="V14" s="5" t="s">
        <v>199</v>
      </c>
      <c r="W14" s="5" t="s">
        <v>200</v>
      </c>
      <c r="X14" s="9"/>
    </row>
    <row r="15" spans="1:39" ht="25.5">
      <c r="A15" s="5">
        <v>2025</v>
      </c>
      <c r="B15" s="6" t="s">
        <v>201</v>
      </c>
      <c r="C15" s="5" t="s">
        <v>141</v>
      </c>
      <c r="D15" s="5" t="s">
        <v>203</v>
      </c>
      <c r="E15" s="5" t="s">
        <v>205</v>
      </c>
      <c r="F15" s="5" t="s">
        <v>206</v>
      </c>
      <c r="G15" s="5" t="s">
        <v>208</v>
      </c>
      <c r="H15" s="7" t="s">
        <v>209</v>
      </c>
      <c r="I15" s="5" t="s">
        <v>87</v>
      </c>
      <c r="J15" s="5">
        <v>5400020250017</v>
      </c>
      <c r="K15" s="6" t="s">
        <v>212</v>
      </c>
      <c r="L15" s="8">
        <v>46014</v>
      </c>
      <c r="M15" s="8">
        <v>46744</v>
      </c>
      <c r="N15" s="10">
        <v>1259150</v>
      </c>
      <c r="O15" s="10">
        <v>1260750</v>
      </c>
      <c r="P15" s="10">
        <v>1450000</v>
      </c>
      <c r="Q15" s="6" t="s">
        <v>76</v>
      </c>
      <c r="R15" s="10"/>
      <c r="S15" s="6" t="s">
        <v>41</v>
      </c>
      <c r="T15" s="6" t="s">
        <v>41</v>
      </c>
      <c r="U15" s="5"/>
      <c r="V15" s="5" t="s">
        <v>199</v>
      </c>
      <c r="W15" s="5" t="s">
        <v>216</v>
      </c>
      <c r="X15" s="9"/>
    </row>
    <row r="16" spans="1:39" ht="25.5">
      <c r="A16" s="5">
        <v>2025</v>
      </c>
      <c r="B16" s="6" t="s">
        <v>217</v>
      </c>
      <c r="C16" s="5" t="s">
        <v>218</v>
      </c>
      <c r="D16" s="5" t="s">
        <v>219</v>
      </c>
      <c r="E16" s="5" t="s">
        <v>220</v>
      </c>
      <c r="F16" s="5" t="s">
        <v>221</v>
      </c>
      <c r="G16" s="5" t="s">
        <v>222</v>
      </c>
      <c r="H16" s="7" t="s">
        <v>223</v>
      </c>
      <c r="I16" s="5" t="s">
        <v>87</v>
      </c>
      <c r="J16" s="5">
        <v>5400020250017</v>
      </c>
      <c r="K16" s="6" t="s">
        <v>224</v>
      </c>
      <c r="L16" s="8">
        <v>46021</v>
      </c>
      <c r="M16" s="8">
        <v>46741</v>
      </c>
      <c r="N16" s="10">
        <v>450000</v>
      </c>
      <c r="O16" s="10">
        <v>452000</v>
      </c>
      <c r="P16" s="10">
        <v>450000</v>
      </c>
      <c r="Q16" s="6" t="s">
        <v>76</v>
      </c>
      <c r="R16" s="10"/>
      <c r="S16" s="6" t="s">
        <v>41</v>
      </c>
      <c r="T16" s="6" t="s">
        <v>41</v>
      </c>
      <c r="U16" s="5"/>
      <c r="V16" s="5" t="s">
        <v>227</v>
      </c>
      <c r="W16" s="5" t="s">
        <v>228</v>
      </c>
      <c r="X16" s="9"/>
    </row>
    <row r="17" spans="1:24" ht="25.5">
      <c r="A17" s="5">
        <v>2025</v>
      </c>
      <c r="B17" s="6" t="s">
        <v>231</v>
      </c>
      <c r="C17" s="5" t="s">
        <v>31</v>
      </c>
      <c r="D17" s="5" t="s">
        <v>232</v>
      </c>
      <c r="E17" s="5" t="s">
        <v>233</v>
      </c>
      <c r="F17" s="5" t="s">
        <v>234</v>
      </c>
      <c r="G17" s="5" t="s">
        <v>235</v>
      </c>
      <c r="H17" s="7" t="s">
        <v>236</v>
      </c>
      <c r="I17" s="5" t="s">
        <v>87</v>
      </c>
      <c r="J17" s="5">
        <v>5400020250017</v>
      </c>
      <c r="K17" s="6" t="s">
        <v>240</v>
      </c>
      <c r="L17" s="8">
        <v>46007</v>
      </c>
      <c r="M17" s="8">
        <v>46737</v>
      </c>
      <c r="N17" s="10">
        <v>400000</v>
      </c>
      <c r="O17" s="10">
        <v>401000</v>
      </c>
      <c r="P17" s="10">
        <v>400000</v>
      </c>
      <c r="Q17" s="6" t="s">
        <v>76</v>
      </c>
      <c r="R17" s="10"/>
      <c r="S17" s="6" t="s">
        <v>41</v>
      </c>
      <c r="T17" s="6" t="s">
        <v>41</v>
      </c>
      <c r="U17" s="5"/>
      <c r="V17" s="5" t="s">
        <v>246</v>
      </c>
      <c r="W17" s="5" t="s">
        <v>247</v>
      </c>
      <c r="X17" s="9"/>
    </row>
    <row r="18" spans="1:24" ht="25.5">
      <c r="A18" s="5">
        <v>2025</v>
      </c>
      <c r="B18" s="6" t="s">
        <v>248</v>
      </c>
      <c r="C18" s="5" t="s">
        <v>141</v>
      </c>
      <c r="D18" s="5" t="s">
        <v>249</v>
      </c>
      <c r="E18" s="5" t="s">
        <v>250</v>
      </c>
      <c r="F18" s="5" t="s">
        <v>251</v>
      </c>
      <c r="G18" s="5" t="s">
        <v>253</v>
      </c>
      <c r="H18" s="7" t="s">
        <v>255</v>
      </c>
      <c r="I18" s="5" t="s">
        <v>87</v>
      </c>
      <c r="J18" s="5">
        <v>5400020250017</v>
      </c>
      <c r="K18" s="6" t="s">
        <v>256</v>
      </c>
      <c r="L18" s="8">
        <v>46020</v>
      </c>
      <c r="M18" s="9">
        <v>46507</v>
      </c>
      <c r="N18" s="10">
        <v>800000</v>
      </c>
      <c r="O18" s="10">
        <v>808000</v>
      </c>
      <c r="P18" s="10">
        <v>800000</v>
      </c>
      <c r="Q18" s="6" t="s">
        <v>76</v>
      </c>
      <c r="R18" s="10"/>
      <c r="S18" s="6" t="s">
        <v>76</v>
      </c>
      <c r="T18" s="6" t="s">
        <v>76</v>
      </c>
      <c r="U18" s="5" t="s">
        <v>166</v>
      </c>
      <c r="V18" s="5" t="s">
        <v>257</v>
      </c>
      <c r="W18" s="5" t="s">
        <v>258</v>
      </c>
      <c r="X18" s="9"/>
    </row>
    <row r="19" spans="1:24" ht="25.5">
      <c r="A19" s="5">
        <v>2025</v>
      </c>
      <c r="B19" s="6" t="s">
        <v>226</v>
      </c>
      <c r="C19" s="5" t="s">
        <v>58</v>
      </c>
      <c r="D19" s="5" t="s">
        <v>260</v>
      </c>
      <c r="E19" s="5" t="s">
        <v>225</v>
      </c>
      <c r="F19" s="5" t="s">
        <v>261</v>
      </c>
      <c r="G19" s="5" t="s">
        <v>262</v>
      </c>
      <c r="H19" s="7" t="s">
        <v>263</v>
      </c>
      <c r="I19" s="5" t="s">
        <v>87</v>
      </c>
      <c r="J19" s="5">
        <v>5400020250017</v>
      </c>
      <c r="K19" s="6" t="s">
        <v>64</v>
      </c>
      <c r="L19" s="8">
        <v>46007</v>
      </c>
      <c r="M19" s="8">
        <v>46737</v>
      </c>
      <c r="N19" s="10">
        <v>450000</v>
      </c>
      <c r="O19" s="10">
        <v>451000</v>
      </c>
      <c r="P19" s="10">
        <v>450000</v>
      </c>
      <c r="Q19" s="6" t="s">
        <v>76</v>
      </c>
      <c r="R19" s="10"/>
      <c r="S19" s="6" t="s">
        <v>41</v>
      </c>
      <c r="T19" s="6" t="s">
        <v>41</v>
      </c>
      <c r="U19" s="5"/>
      <c r="V19" s="5" t="s">
        <v>267</v>
      </c>
      <c r="W19" s="5" t="s">
        <v>268</v>
      </c>
      <c r="X19" s="9"/>
    </row>
    <row r="20" spans="1:24" ht="25.5">
      <c r="A20" s="5">
        <v>2025</v>
      </c>
      <c r="B20" s="6" t="s">
        <v>271</v>
      </c>
      <c r="C20" s="5" t="s">
        <v>204</v>
      </c>
      <c r="D20" s="5" t="s">
        <v>275</v>
      </c>
      <c r="E20" s="5" t="s">
        <v>276</v>
      </c>
      <c r="F20" s="5" t="s">
        <v>277</v>
      </c>
      <c r="G20" s="5" t="s">
        <v>278</v>
      </c>
      <c r="H20" s="7" t="s">
        <v>279</v>
      </c>
      <c r="I20" s="5" t="s">
        <v>87</v>
      </c>
      <c r="J20" s="5">
        <v>5400020250017</v>
      </c>
      <c r="K20" s="6" t="s">
        <v>280</v>
      </c>
      <c r="L20" s="8">
        <v>46020</v>
      </c>
      <c r="M20" s="9">
        <v>46510</v>
      </c>
      <c r="N20" s="10">
        <v>1500000</v>
      </c>
      <c r="O20" s="10">
        <v>1612903.23</v>
      </c>
      <c r="P20" s="10">
        <v>1500000</v>
      </c>
      <c r="Q20" s="6" t="s">
        <v>76</v>
      </c>
      <c r="R20" s="10"/>
      <c r="S20" s="6" t="s">
        <v>41</v>
      </c>
      <c r="T20" s="6" t="s">
        <v>41</v>
      </c>
      <c r="U20" s="5"/>
      <c r="V20" s="5" t="s">
        <v>284</v>
      </c>
      <c r="W20" s="5" t="s">
        <v>285</v>
      </c>
      <c r="X20" s="9"/>
    </row>
    <row r="21" spans="1:24" ht="25.5">
      <c r="A21" s="5">
        <v>2025</v>
      </c>
      <c r="B21" s="6" t="s">
        <v>271</v>
      </c>
      <c r="C21" s="5" t="s">
        <v>204</v>
      </c>
      <c r="D21" s="5" t="s">
        <v>275</v>
      </c>
      <c r="E21" s="5" t="s">
        <v>288</v>
      </c>
      <c r="F21" s="5" t="s">
        <v>290</v>
      </c>
      <c r="G21" s="5" t="s">
        <v>291</v>
      </c>
      <c r="H21" s="7" t="s">
        <v>292</v>
      </c>
      <c r="I21" s="5" t="s">
        <v>87</v>
      </c>
      <c r="J21" s="5">
        <v>5400020250017</v>
      </c>
      <c r="K21" s="6" t="s">
        <v>280</v>
      </c>
      <c r="L21" s="8">
        <v>46010</v>
      </c>
      <c r="M21" s="9">
        <v>46507</v>
      </c>
      <c r="N21" s="10">
        <v>450000</v>
      </c>
      <c r="O21" s="10">
        <v>451681.86</v>
      </c>
      <c r="P21" s="10">
        <v>450000</v>
      </c>
      <c r="Q21" s="6" t="s">
        <v>76</v>
      </c>
      <c r="R21" s="10"/>
      <c r="S21" s="6" t="s">
        <v>41</v>
      </c>
      <c r="T21" s="6" t="s">
        <v>41</v>
      </c>
      <c r="U21" s="5" t="s">
        <v>295</v>
      </c>
      <c r="V21" s="5" t="s">
        <v>296</v>
      </c>
      <c r="W21" s="5" t="s">
        <v>285</v>
      </c>
      <c r="X21" s="9"/>
    </row>
    <row r="22" spans="1:24" ht="25.5">
      <c r="A22" s="5">
        <v>2025</v>
      </c>
      <c r="B22" s="6" t="s">
        <v>272</v>
      </c>
      <c r="C22" s="5" t="s">
        <v>80</v>
      </c>
      <c r="D22" s="5" t="s">
        <v>298</v>
      </c>
      <c r="E22" s="5" t="s">
        <v>273</v>
      </c>
      <c r="F22" s="5" t="s">
        <v>299</v>
      </c>
      <c r="G22" s="5" t="s">
        <v>300</v>
      </c>
      <c r="H22" s="7" t="s">
        <v>136</v>
      </c>
      <c r="I22" s="5" t="s">
        <v>87</v>
      </c>
      <c r="J22" s="5">
        <v>5400020250017</v>
      </c>
      <c r="K22" s="6" t="s">
        <v>88</v>
      </c>
      <c r="L22" s="8">
        <v>46007</v>
      </c>
      <c r="M22" s="9">
        <v>47015</v>
      </c>
      <c r="N22" s="10">
        <v>370000</v>
      </c>
      <c r="O22" s="10">
        <v>379820</v>
      </c>
      <c r="P22" s="10">
        <v>370000</v>
      </c>
      <c r="Q22" s="6" t="s">
        <v>76</v>
      </c>
      <c r="R22" s="10"/>
      <c r="S22" s="6" t="s">
        <v>41</v>
      </c>
      <c r="T22" s="6" t="s">
        <v>41</v>
      </c>
      <c r="U22" s="5"/>
      <c r="V22" s="5" t="s">
        <v>302</v>
      </c>
      <c r="W22" s="5" t="s">
        <v>303</v>
      </c>
      <c r="X22" s="9"/>
    </row>
    <row r="23" spans="1:24" ht="25.5">
      <c r="A23" s="5">
        <v>2025</v>
      </c>
      <c r="B23" s="6" t="s">
        <v>245</v>
      </c>
      <c r="C23" s="5" t="s">
        <v>170</v>
      </c>
      <c r="D23" s="5" t="s">
        <v>171</v>
      </c>
      <c r="E23" s="5" t="s">
        <v>243</v>
      </c>
      <c r="F23" s="5" t="s">
        <v>305</v>
      </c>
      <c r="G23" s="5" t="s">
        <v>306</v>
      </c>
      <c r="H23" s="7" t="s">
        <v>307</v>
      </c>
      <c r="I23" s="5" t="s">
        <v>87</v>
      </c>
      <c r="J23" s="5">
        <v>5400020250017</v>
      </c>
      <c r="K23" s="6" t="s">
        <v>178</v>
      </c>
      <c r="L23" s="8">
        <v>46020</v>
      </c>
      <c r="M23" s="8">
        <v>46741</v>
      </c>
      <c r="N23" s="10">
        <v>500000</v>
      </c>
      <c r="O23" s="10">
        <v>505000</v>
      </c>
      <c r="P23" s="10">
        <v>500000</v>
      </c>
      <c r="Q23" s="6" t="s">
        <v>76</v>
      </c>
      <c r="R23" s="10"/>
      <c r="S23" s="6" t="s">
        <v>41</v>
      </c>
      <c r="T23" s="6" t="s">
        <v>41</v>
      </c>
      <c r="U23" s="5"/>
      <c r="V23" s="5" t="s">
        <v>184</v>
      </c>
      <c r="W23" s="5" t="s">
        <v>186</v>
      </c>
      <c r="X23" s="9"/>
    </row>
    <row r="24" spans="1:24" ht="25.5">
      <c r="A24" s="5">
        <v>2025</v>
      </c>
      <c r="B24" s="6" t="s">
        <v>67</v>
      </c>
      <c r="C24" s="5" t="s">
        <v>68</v>
      </c>
      <c r="D24" s="5" t="s">
        <v>69</v>
      </c>
      <c r="E24" s="5" t="s">
        <v>311</v>
      </c>
      <c r="F24" s="5" t="s">
        <v>312</v>
      </c>
      <c r="G24" s="5" t="s">
        <v>314</v>
      </c>
      <c r="H24" s="7" t="s">
        <v>315</v>
      </c>
      <c r="I24" s="5" t="s">
        <v>87</v>
      </c>
      <c r="J24" s="5">
        <v>5400020250017</v>
      </c>
      <c r="K24" s="6" t="s">
        <v>118</v>
      </c>
      <c r="L24" s="8">
        <v>46020</v>
      </c>
      <c r="M24" s="9">
        <v>46483</v>
      </c>
      <c r="N24" s="10">
        <v>2600000</v>
      </c>
      <c r="O24" s="10">
        <v>2630400</v>
      </c>
      <c r="P24" s="10">
        <v>2600000</v>
      </c>
      <c r="Q24" s="6" t="s">
        <v>41</v>
      </c>
      <c r="R24" s="10">
        <v>2600000</v>
      </c>
      <c r="S24" s="6" t="s">
        <v>41</v>
      </c>
      <c r="T24" s="6" t="s">
        <v>41</v>
      </c>
      <c r="U24" s="5"/>
      <c r="V24" s="5" t="s">
        <v>77</v>
      </c>
      <c r="W24" s="5" t="s">
        <v>78</v>
      </c>
      <c r="X24" s="9">
        <v>46206</v>
      </c>
    </row>
    <row r="25" spans="1:24" ht="25.5">
      <c r="A25" s="5">
        <v>2025</v>
      </c>
      <c r="B25" s="6" t="s">
        <v>195</v>
      </c>
      <c r="C25" s="5" t="s">
        <v>218</v>
      </c>
      <c r="D25" s="5" t="s">
        <v>319</v>
      </c>
      <c r="E25" s="5" t="s">
        <v>198</v>
      </c>
      <c r="F25" s="5" t="s">
        <v>321</v>
      </c>
      <c r="G25" s="5" t="s">
        <v>322</v>
      </c>
      <c r="H25" s="7" t="s">
        <v>324</v>
      </c>
      <c r="I25" s="5" t="s">
        <v>87</v>
      </c>
      <c r="J25" s="5">
        <v>5400020250017</v>
      </c>
      <c r="K25" s="6" t="s">
        <v>327</v>
      </c>
      <c r="L25" s="8">
        <v>46007</v>
      </c>
      <c r="M25" s="9">
        <v>46504</v>
      </c>
      <c r="N25" s="10">
        <v>450000</v>
      </c>
      <c r="O25" s="10">
        <v>450500</v>
      </c>
      <c r="P25" s="10">
        <v>450000</v>
      </c>
      <c r="Q25" s="6" t="s">
        <v>76</v>
      </c>
      <c r="R25" s="10"/>
      <c r="S25" s="6" t="s">
        <v>41</v>
      </c>
      <c r="T25" s="6" t="s">
        <v>41</v>
      </c>
      <c r="U25" s="5"/>
      <c r="V25" s="5" t="s">
        <v>331</v>
      </c>
      <c r="W25" s="5" t="s">
        <v>332</v>
      </c>
      <c r="X25" s="9"/>
    </row>
    <row r="26" spans="1:24" ht="25.5">
      <c r="A26" s="5">
        <v>2025</v>
      </c>
      <c r="B26" s="6" t="s">
        <v>254</v>
      </c>
      <c r="C26" s="5" t="s">
        <v>170</v>
      </c>
      <c r="D26" s="5" t="s">
        <v>171</v>
      </c>
      <c r="E26" s="5" t="s">
        <v>252</v>
      </c>
      <c r="F26" s="5" t="s">
        <v>333</v>
      </c>
      <c r="G26" s="5" t="s">
        <v>334</v>
      </c>
      <c r="H26" s="7" t="s">
        <v>335</v>
      </c>
      <c r="I26" s="5" t="s">
        <v>87</v>
      </c>
      <c r="J26" s="5">
        <v>5400020250017</v>
      </c>
      <c r="K26" s="6" t="s">
        <v>178</v>
      </c>
      <c r="L26" s="8">
        <v>46021</v>
      </c>
      <c r="M26" s="9">
        <v>46507</v>
      </c>
      <c r="N26" s="10">
        <v>500000</v>
      </c>
      <c r="O26" s="10">
        <v>505000</v>
      </c>
      <c r="P26" s="10">
        <v>500000</v>
      </c>
      <c r="Q26" s="6" t="s">
        <v>76</v>
      </c>
      <c r="R26" s="10"/>
      <c r="S26" s="6" t="s">
        <v>41</v>
      </c>
      <c r="T26" s="6" t="s">
        <v>41</v>
      </c>
      <c r="U26" s="5"/>
      <c r="V26" s="5" t="s">
        <v>184</v>
      </c>
      <c r="W26" s="5" t="s">
        <v>186</v>
      </c>
      <c r="X26" s="9"/>
    </row>
    <row r="27" spans="1:24" ht="25.5">
      <c r="A27" s="5">
        <v>2025</v>
      </c>
      <c r="B27" s="6" t="s">
        <v>237</v>
      </c>
      <c r="C27" s="5" t="s">
        <v>170</v>
      </c>
      <c r="D27" s="5" t="s">
        <v>171</v>
      </c>
      <c r="E27" s="5" t="s">
        <v>239</v>
      </c>
      <c r="F27" s="5" t="s">
        <v>345</v>
      </c>
      <c r="G27" s="5" t="s">
        <v>346</v>
      </c>
      <c r="H27" s="7" t="s">
        <v>347</v>
      </c>
      <c r="I27" s="5" t="s">
        <v>87</v>
      </c>
      <c r="J27" s="5">
        <v>5400020250017</v>
      </c>
      <c r="K27" s="6" t="s">
        <v>348</v>
      </c>
      <c r="L27" s="8">
        <v>46015</v>
      </c>
      <c r="M27" s="8">
        <v>46745</v>
      </c>
      <c r="N27" s="10">
        <v>10000000</v>
      </c>
      <c r="O27" s="10">
        <v>10030000</v>
      </c>
      <c r="P27" s="10">
        <v>10000000</v>
      </c>
      <c r="Q27" s="6" t="s">
        <v>76</v>
      </c>
      <c r="R27" s="10"/>
      <c r="S27" s="6" t="s">
        <v>41</v>
      </c>
      <c r="T27" s="6" t="s">
        <v>41</v>
      </c>
      <c r="U27" s="5"/>
      <c r="V27" s="5" t="s">
        <v>353</v>
      </c>
      <c r="W27" s="5" t="s">
        <v>354</v>
      </c>
      <c r="X27" s="9"/>
    </row>
    <row r="28" spans="1:24" ht="25.5">
      <c r="A28" s="5">
        <v>2025</v>
      </c>
      <c r="B28" s="6" t="s">
        <v>270</v>
      </c>
      <c r="C28" s="5" t="s">
        <v>68</v>
      </c>
      <c r="D28" s="5" t="s">
        <v>69</v>
      </c>
      <c r="E28" s="5" t="s">
        <v>269</v>
      </c>
      <c r="F28" s="5" t="s">
        <v>358</v>
      </c>
      <c r="G28" s="5" t="s">
        <v>359</v>
      </c>
      <c r="H28" s="7" t="s">
        <v>136</v>
      </c>
      <c r="I28" s="5" t="s">
        <v>87</v>
      </c>
      <c r="J28" s="5">
        <v>5400020250017</v>
      </c>
      <c r="K28" s="6" t="s">
        <v>360</v>
      </c>
      <c r="L28" s="8">
        <v>46008</v>
      </c>
      <c r="M28" s="8">
        <v>46738</v>
      </c>
      <c r="N28" s="10">
        <v>1500000</v>
      </c>
      <c r="O28" s="10">
        <v>1502000</v>
      </c>
      <c r="P28" s="10">
        <v>1500000</v>
      </c>
      <c r="Q28" s="6" t="s">
        <v>41</v>
      </c>
      <c r="R28" s="10">
        <v>1500000</v>
      </c>
      <c r="S28" s="6" t="s">
        <v>41</v>
      </c>
      <c r="T28" s="6" t="s">
        <v>41</v>
      </c>
      <c r="U28" s="5"/>
      <c r="V28" s="5" t="s">
        <v>362</v>
      </c>
      <c r="W28" s="5" t="s">
        <v>363</v>
      </c>
      <c r="X28" s="9">
        <v>46204</v>
      </c>
    </row>
    <row r="29" spans="1:24" ht="25.5">
      <c r="A29" s="5">
        <v>2025</v>
      </c>
      <c r="B29" s="20" t="s">
        <v>264</v>
      </c>
      <c r="C29" s="5" t="s">
        <v>364</v>
      </c>
      <c r="D29" s="5" t="s">
        <v>365</v>
      </c>
      <c r="E29" s="5" t="s">
        <v>265</v>
      </c>
      <c r="F29" s="5" t="s">
        <v>366</v>
      </c>
      <c r="G29" s="5" t="s">
        <v>367</v>
      </c>
      <c r="H29" s="7" t="s">
        <v>368</v>
      </c>
      <c r="I29" s="5" t="s">
        <v>87</v>
      </c>
      <c r="J29" s="5">
        <v>5400020250017</v>
      </c>
      <c r="K29" s="6" t="s">
        <v>369</v>
      </c>
      <c r="L29" s="8">
        <v>46015</v>
      </c>
      <c r="M29" s="9">
        <v>47026</v>
      </c>
      <c r="N29" s="10">
        <v>1700000</v>
      </c>
      <c r="O29" s="10">
        <v>1734000</v>
      </c>
      <c r="P29" s="10">
        <v>1700000</v>
      </c>
      <c r="Q29" s="6" t="s">
        <v>76</v>
      </c>
      <c r="R29" s="10"/>
      <c r="S29" s="6" t="s">
        <v>76</v>
      </c>
      <c r="T29" s="6" t="s">
        <v>76</v>
      </c>
      <c r="U29" s="5" t="s">
        <v>266</v>
      </c>
      <c r="V29" s="5" t="s">
        <v>370</v>
      </c>
      <c r="W29" s="5" t="s">
        <v>371</v>
      </c>
      <c r="X29" s="9"/>
    </row>
    <row r="30" spans="1:24" ht="25.5">
      <c r="A30" s="5">
        <v>2025</v>
      </c>
      <c r="B30" s="6" t="s">
        <v>372</v>
      </c>
      <c r="C30" s="5" t="s">
        <v>31</v>
      </c>
      <c r="D30" s="5" t="s">
        <v>32</v>
      </c>
      <c r="E30" s="5" t="s">
        <v>373</v>
      </c>
      <c r="F30" s="5" t="s">
        <v>374</v>
      </c>
      <c r="G30" s="5" t="s">
        <v>375</v>
      </c>
      <c r="H30" s="7" t="s">
        <v>376</v>
      </c>
      <c r="I30" s="5" t="s">
        <v>37</v>
      </c>
      <c r="J30" s="5">
        <v>5400020250019</v>
      </c>
      <c r="K30" s="6" t="s">
        <v>54</v>
      </c>
      <c r="L30" s="9">
        <v>45962</v>
      </c>
      <c r="M30" s="8">
        <v>46721</v>
      </c>
      <c r="N30" s="10">
        <v>500000</v>
      </c>
      <c r="O30" s="10">
        <v>500000</v>
      </c>
      <c r="P30" s="10">
        <v>500000</v>
      </c>
      <c r="Q30" s="6" t="s">
        <v>41</v>
      </c>
      <c r="R30" s="10">
        <v>500000</v>
      </c>
      <c r="S30" s="6" t="s">
        <v>41</v>
      </c>
      <c r="T30" s="6" t="s">
        <v>41</v>
      </c>
      <c r="U30" s="5"/>
      <c r="V30" s="5" t="s">
        <v>377</v>
      </c>
      <c r="W30" s="5" t="s">
        <v>56</v>
      </c>
      <c r="X30" s="9">
        <v>46097</v>
      </c>
    </row>
    <row r="31" spans="1:24" ht="16.5" customHeight="1">
      <c r="A31" s="5">
        <v>2026</v>
      </c>
      <c r="B31" s="6" t="s">
        <v>378</v>
      </c>
      <c r="C31" s="5" t="s">
        <v>204</v>
      </c>
      <c r="D31" s="5" t="s">
        <v>379</v>
      </c>
      <c r="E31" s="5" t="s">
        <v>380</v>
      </c>
      <c r="F31" s="5" t="s">
        <v>381</v>
      </c>
      <c r="G31" s="5" t="s">
        <v>382</v>
      </c>
      <c r="H31" s="7" t="s">
        <v>383</v>
      </c>
      <c r="I31" s="5" t="s">
        <v>74</v>
      </c>
      <c r="J31" s="5">
        <v>5400020260018</v>
      </c>
      <c r="K31" s="6" t="s">
        <v>75</v>
      </c>
      <c r="L31" s="9">
        <v>46206</v>
      </c>
      <c r="M31" s="9">
        <v>46571</v>
      </c>
      <c r="N31" s="10">
        <v>500000</v>
      </c>
      <c r="O31" s="10">
        <v>505000</v>
      </c>
      <c r="P31" s="10">
        <v>500000</v>
      </c>
      <c r="Q31" s="6" t="s">
        <v>76</v>
      </c>
      <c r="R31" s="10"/>
      <c r="S31" s="5" t="s">
        <v>384</v>
      </c>
      <c r="T31" s="5" t="s">
        <v>384</v>
      </c>
      <c r="U31" s="5" t="s">
        <v>385</v>
      </c>
      <c r="V31" s="5" t="s">
        <v>386</v>
      </c>
      <c r="W31" s="5" t="s">
        <v>387</v>
      </c>
      <c r="X31" s="9"/>
    </row>
    <row r="32" spans="1:24" ht="25.5">
      <c r="A32" s="5">
        <v>2026</v>
      </c>
      <c r="B32" s="6" t="s">
        <v>388</v>
      </c>
      <c r="C32" s="5" t="s">
        <v>204</v>
      </c>
      <c r="D32" s="5" t="s">
        <v>389</v>
      </c>
      <c r="E32" s="5" t="s">
        <v>390</v>
      </c>
      <c r="F32" s="5" t="s">
        <v>391</v>
      </c>
      <c r="G32" s="5" t="s">
        <v>392</v>
      </c>
      <c r="H32" s="7" t="s">
        <v>136</v>
      </c>
      <c r="I32" s="5" t="s">
        <v>74</v>
      </c>
      <c r="J32" s="5">
        <v>5400020260018</v>
      </c>
      <c r="K32" s="6" t="s">
        <v>75</v>
      </c>
      <c r="L32" s="9">
        <v>46206</v>
      </c>
      <c r="M32" s="9">
        <v>46571</v>
      </c>
      <c r="N32" s="10">
        <v>500000</v>
      </c>
      <c r="O32" s="10">
        <v>505000</v>
      </c>
      <c r="P32" s="10">
        <v>500000</v>
      </c>
      <c r="Q32" s="6" t="s">
        <v>76</v>
      </c>
      <c r="R32" s="10"/>
      <c r="S32" s="5" t="s">
        <v>384</v>
      </c>
      <c r="T32" s="5" t="s">
        <v>384</v>
      </c>
      <c r="U32" s="5" t="s">
        <v>385</v>
      </c>
      <c r="V32" s="5" t="s">
        <v>394</v>
      </c>
      <c r="W32" s="5" t="s">
        <v>395</v>
      </c>
      <c r="X32" s="9"/>
    </row>
    <row r="33" spans="1:24" ht="25.5">
      <c r="A33" s="5">
        <v>2026</v>
      </c>
      <c r="B33" s="6" t="s">
        <v>396</v>
      </c>
      <c r="C33" s="5" t="s">
        <v>128</v>
      </c>
      <c r="D33" s="5" t="s">
        <v>398</v>
      </c>
      <c r="E33" s="5" t="s">
        <v>399</v>
      </c>
      <c r="F33" s="5" t="s">
        <v>400</v>
      </c>
      <c r="G33" s="5" t="s">
        <v>401</v>
      </c>
      <c r="H33" s="7" t="s">
        <v>402</v>
      </c>
      <c r="I33" s="5" t="s">
        <v>74</v>
      </c>
      <c r="J33" s="5">
        <v>5400020260018</v>
      </c>
      <c r="K33" s="6" t="s">
        <v>75</v>
      </c>
      <c r="L33" s="9">
        <v>46188</v>
      </c>
      <c r="M33" s="9">
        <v>46553</v>
      </c>
      <c r="N33" s="10">
        <v>1000000</v>
      </c>
      <c r="O33" s="10">
        <v>1010000</v>
      </c>
      <c r="P33" s="10">
        <v>1000000</v>
      </c>
      <c r="Q33" s="6" t="s">
        <v>76</v>
      </c>
      <c r="R33" s="10"/>
      <c r="S33" s="5" t="s">
        <v>384</v>
      </c>
      <c r="T33" s="5" t="s">
        <v>384</v>
      </c>
      <c r="U33" s="5" t="s">
        <v>406</v>
      </c>
      <c r="V33" s="5" t="s">
        <v>407</v>
      </c>
      <c r="W33" s="5" t="s">
        <v>408</v>
      </c>
      <c r="X33" s="9"/>
    </row>
    <row r="34" spans="1:24" ht="38.25">
      <c r="A34" s="5">
        <v>2026</v>
      </c>
      <c r="B34" s="6" t="s">
        <v>404</v>
      </c>
      <c r="C34" s="5" t="s">
        <v>123</v>
      </c>
      <c r="D34" s="5" t="s">
        <v>410</v>
      </c>
      <c r="E34" s="5" t="s">
        <v>405</v>
      </c>
      <c r="F34" s="5" t="s">
        <v>411</v>
      </c>
      <c r="G34" s="5" t="s">
        <v>412</v>
      </c>
      <c r="H34" s="7" t="s">
        <v>413</v>
      </c>
      <c r="I34" s="5" t="s">
        <v>74</v>
      </c>
      <c r="J34" s="5">
        <v>5400020260018</v>
      </c>
      <c r="K34" s="6" t="s">
        <v>75</v>
      </c>
      <c r="L34" s="8">
        <v>46366</v>
      </c>
      <c r="M34" s="8">
        <v>46731</v>
      </c>
      <c r="N34" s="10">
        <v>1000000</v>
      </c>
      <c r="O34" s="10">
        <v>1010000</v>
      </c>
      <c r="P34" s="10">
        <v>1000000</v>
      </c>
      <c r="Q34" s="6" t="s">
        <v>76</v>
      </c>
      <c r="R34" s="10"/>
      <c r="S34" s="21" t="s">
        <v>414</v>
      </c>
      <c r="T34" s="21" t="s">
        <v>414</v>
      </c>
      <c r="U34" s="5" t="s">
        <v>409</v>
      </c>
      <c r="V34" s="5" t="s">
        <v>416</v>
      </c>
      <c r="W34" s="5" t="s">
        <v>417</v>
      </c>
      <c r="X34" s="9"/>
    </row>
    <row r="35" spans="1:24" ht="38.25">
      <c r="A35" s="5">
        <v>2026</v>
      </c>
      <c r="B35" s="6" t="s">
        <v>372</v>
      </c>
      <c r="C35" s="5" t="s">
        <v>31</v>
      </c>
      <c r="D35" s="5" t="s">
        <v>32</v>
      </c>
      <c r="E35" s="5" t="s">
        <v>403</v>
      </c>
      <c r="F35" s="5" t="s">
        <v>418</v>
      </c>
      <c r="G35" s="5" t="s">
        <v>419</v>
      </c>
      <c r="H35" s="7" t="s">
        <v>420</v>
      </c>
      <c r="I35" s="5" t="s">
        <v>37</v>
      </c>
      <c r="J35" s="5">
        <v>5400020260017</v>
      </c>
      <c r="K35" s="6" t="s">
        <v>54</v>
      </c>
      <c r="L35" s="9">
        <v>46357</v>
      </c>
      <c r="M35" s="8">
        <v>46721</v>
      </c>
      <c r="N35" s="10">
        <v>500000</v>
      </c>
      <c r="O35" s="10">
        <v>525000</v>
      </c>
      <c r="P35" s="10">
        <v>500000</v>
      </c>
      <c r="Q35" s="6" t="s">
        <v>76</v>
      </c>
      <c r="R35" s="10"/>
      <c r="S35" s="21" t="s">
        <v>414</v>
      </c>
      <c r="T35" s="21" t="s">
        <v>414</v>
      </c>
      <c r="U35" s="5"/>
      <c r="V35" s="5" t="s">
        <v>377</v>
      </c>
      <c r="W35" s="5" t="s">
        <v>56</v>
      </c>
      <c r="X35" s="9"/>
    </row>
    <row r="36" spans="1:24" ht="38.25">
      <c r="A36" s="5">
        <v>2026</v>
      </c>
      <c r="B36" s="6" t="s">
        <v>422</v>
      </c>
      <c r="C36" s="5" t="s">
        <v>31</v>
      </c>
      <c r="D36" s="5" t="s">
        <v>424</v>
      </c>
      <c r="E36" s="5" t="s">
        <v>421</v>
      </c>
      <c r="F36" s="5" t="s">
        <v>425</v>
      </c>
      <c r="G36" s="5" t="s">
        <v>426</v>
      </c>
      <c r="H36" s="7" t="s">
        <v>427</v>
      </c>
      <c r="I36" s="5" t="s">
        <v>74</v>
      </c>
      <c r="J36" s="5">
        <v>5400020260018</v>
      </c>
      <c r="K36" s="6" t="s">
        <v>75</v>
      </c>
      <c r="L36" s="9">
        <v>46237</v>
      </c>
      <c r="M36" s="9">
        <v>46995</v>
      </c>
      <c r="N36" s="10">
        <v>250000</v>
      </c>
      <c r="O36" s="10">
        <v>263618.48</v>
      </c>
      <c r="P36" s="10"/>
      <c r="Q36" s="6" t="s">
        <v>76</v>
      </c>
      <c r="R36" s="10"/>
      <c r="S36" s="21" t="s">
        <v>414</v>
      </c>
      <c r="T36" s="21" t="s">
        <v>414</v>
      </c>
      <c r="U36" s="5" t="s">
        <v>361</v>
      </c>
      <c r="V36" s="5" t="s">
        <v>428</v>
      </c>
      <c r="W36" s="5" t="s">
        <v>429</v>
      </c>
      <c r="X36" s="9"/>
    </row>
    <row r="37" spans="1:24" ht="38.25">
      <c r="A37" s="5">
        <v>2026</v>
      </c>
      <c r="B37" s="6" t="s">
        <v>415</v>
      </c>
      <c r="C37" s="5" t="s">
        <v>31</v>
      </c>
      <c r="D37" s="5" t="s">
        <v>430</v>
      </c>
      <c r="E37" s="5"/>
      <c r="F37" s="5" t="s">
        <v>431</v>
      </c>
      <c r="G37" s="5" t="s">
        <v>432</v>
      </c>
      <c r="H37" s="7"/>
      <c r="I37" s="5" t="s">
        <v>74</v>
      </c>
      <c r="J37" s="5">
        <v>5400020260018</v>
      </c>
      <c r="K37" s="6" t="s">
        <v>75</v>
      </c>
      <c r="L37" s="9">
        <v>46259</v>
      </c>
      <c r="M37" s="9">
        <v>47118</v>
      </c>
      <c r="N37" s="10">
        <v>250000</v>
      </c>
      <c r="O37" s="10">
        <v>251000</v>
      </c>
      <c r="P37" s="10"/>
      <c r="Q37" s="6" t="s">
        <v>76</v>
      </c>
      <c r="R37" s="10"/>
      <c r="S37" s="21" t="s">
        <v>414</v>
      </c>
      <c r="T37" s="21" t="s">
        <v>414</v>
      </c>
      <c r="U37" s="5" t="s">
        <v>361</v>
      </c>
      <c r="V37" s="5"/>
      <c r="W37" s="5"/>
      <c r="X37" s="9"/>
    </row>
    <row r="38" spans="1:24" ht="38.25">
      <c r="A38" s="5">
        <v>2026</v>
      </c>
      <c r="B38" s="6" t="s">
        <v>393</v>
      </c>
      <c r="C38" s="5" t="s">
        <v>433</v>
      </c>
      <c r="D38" s="5" t="s">
        <v>434</v>
      </c>
      <c r="E38" s="5"/>
      <c r="F38" s="5" t="s">
        <v>435</v>
      </c>
      <c r="G38" s="5" t="s">
        <v>436</v>
      </c>
      <c r="H38" s="7"/>
      <c r="I38" s="5" t="s">
        <v>74</v>
      </c>
      <c r="J38" s="5">
        <v>5400020260018</v>
      </c>
      <c r="K38" s="6" t="s">
        <v>75</v>
      </c>
      <c r="L38" s="9">
        <v>46327</v>
      </c>
      <c r="M38" s="9">
        <v>46692</v>
      </c>
      <c r="N38" s="10">
        <v>500000</v>
      </c>
      <c r="O38" s="10">
        <v>550000</v>
      </c>
      <c r="P38" s="10"/>
      <c r="Q38" s="6"/>
      <c r="R38" s="10"/>
      <c r="S38" s="21" t="s">
        <v>414</v>
      </c>
      <c r="T38" s="21" t="s">
        <v>414</v>
      </c>
      <c r="U38" s="5" t="s">
        <v>397</v>
      </c>
      <c r="V38" s="5"/>
      <c r="W38" s="5"/>
      <c r="X38" s="9"/>
    </row>
    <row r="39" spans="1:24" ht="38.25">
      <c r="A39" s="5">
        <v>2026</v>
      </c>
      <c r="B39" s="6" t="s">
        <v>423</v>
      </c>
      <c r="C39" s="5" t="s">
        <v>433</v>
      </c>
      <c r="D39" s="5" t="s">
        <v>438</v>
      </c>
      <c r="E39" s="5"/>
      <c r="F39" s="5" t="s">
        <v>439</v>
      </c>
      <c r="G39" s="5"/>
      <c r="H39" s="7"/>
      <c r="I39" s="5" t="s">
        <v>74</v>
      </c>
      <c r="J39" s="5">
        <v>5400020260018</v>
      </c>
      <c r="K39" s="6" t="s">
        <v>75</v>
      </c>
      <c r="L39" s="9">
        <v>46326</v>
      </c>
      <c r="M39" s="9">
        <v>47057</v>
      </c>
      <c r="N39" s="10">
        <v>500000</v>
      </c>
      <c r="O39" s="10">
        <v>500600</v>
      </c>
      <c r="P39" s="10"/>
      <c r="Q39" s="6"/>
      <c r="R39" s="10"/>
      <c r="S39" s="21" t="s">
        <v>414</v>
      </c>
      <c r="T39" s="21" t="s">
        <v>414</v>
      </c>
      <c r="U39" s="5"/>
      <c r="V39" s="5"/>
      <c r="W39" s="5"/>
      <c r="X39" s="9"/>
    </row>
    <row r="40" spans="1:24" ht="25.5">
      <c r="A40" s="5">
        <v>2026</v>
      </c>
      <c r="B40" s="6" t="s">
        <v>437</v>
      </c>
      <c r="C40" s="5" t="s">
        <v>433</v>
      </c>
      <c r="D40" s="5" t="s">
        <v>440</v>
      </c>
      <c r="E40" s="5"/>
      <c r="F40" s="5" t="s">
        <v>441</v>
      </c>
      <c r="G40" s="5"/>
      <c r="H40" s="7"/>
      <c r="I40" s="5" t="s">
        <v>74</v>
      </c>
      <c r="J40" s="5">
        <v>5400020260018</v>
      </c>
      <c r="K40" s="6" t="s">
        <v>75</v>
      </c>
      <c r="L40" s="9">
        <v>46386</v>
      </c>
      <c r="M40" s="9">
        <v>46751</v>
      </c>
      <c r="N40" s="10">
        <v>500000</v>
      </c>
      <c r="O40" s="10">
        <v>505050.51</v>
      </c>
      <c r="P40" s="10"/>
      <c r="Q40" s="6"/>
      <c r="R40" s="10"/>
      <c r="S40" s="21" t="s">
        <v>442</v>
      </c>
      <c r="T40" s="21" t="s">
        <v>442</v>
      </c>
      <c r="U40" s="5"/>
      <c r="V40" s="5"/>
      <c r="W40" s="5"/>
      <c r="X40" s="9"/>
    </row>
    <row r="41" spans="1:24" ht="12.75">
      <c r="H41" s="13"/>
      <c r="J41" s="22"/>
    </row>
    <row r="42" spans="1:24" ht="12.75">
      <c r="H42" s="13"/>
      <c r="J42" s="22"/>
    </row>
    <row r="43" spans="1:24" ht="12.75">
      <c r="H43" s="13"/>
      <c r="J43" s="22"/>
    </row>
    <row r="44" spans="1:24" ht="12.75">
      <c r="H44" s="13"/>
      <c r="J44" s="22"/>
    </row>
    <row r="45" spans="1:24" ht="12.75">
      <c r="H45" s="13"/>
      <c r="J45" s="22"/>
    </row>
    <row r="46" spans="1:24" ht="12.75">
      <c r="H46" s="13"/>
      <c r="J46" s="22"/>
    </row>
    <row r="47" spans="1:24" ht="14.25">
      <c r="G47" s="23"/>
      <c r="H47" s="13"/>
      <c r="J47" s="22"/>
    </row>
    <row r="48" spans="1:24" ht="12.75">
      <c r="H48" s="13"/>
      <c r="J48" s="22"/>
    </row>
    <row r="49" spans="8:10" ht="12.75">
      <c r="H49" s="13"/>
      <c r="J49" s="22"/>
    </row>
    <row r="50" spans="8:10" ht="12.75">
      <c r="H50" s="13"/>
      <c r="J50" s="22"/>
    </row>
    <row r="51" spans="8:10" ht="12.75">
      <c r="H51" s="13"/>
      <c r="J51" s="22"/>
    </row>
    <row r="52" spans="8:10" ht="12.75">
      <c r="H52" s="13"/>
      <c r="J52" s="22"/>
    </row>
    <row r="53" spans="8:10" ht="12.75">
      <c r="H53" s="13"/>
      <c r="J53" s="22"/>
    </row>
    <row r="54" spans="8:10" ht="12.75">
      <c r="H54" s="13"/>
      <c r="J54" s="22"/>
    </row>
    <row r="55" spans="8:10" ht="12.75">
      <c r="H55" s="13"/>
      <c r="J55" s="22"/>
    </row>
    <row r="56" spans="8:10" ht="12.75">
      <c r="H56" s="13"/>
      <c r="J56" s="22"/>
    </row>
    <row r="57" spans="8:10" ht="12.75">
      <c r="H57" s="13"/>
      <c r="J57" s="22"/>
    </row>
    <row r="58" spans="8:10" ht="12.75">
      <c r="H58" s="13"/>
      <c r="J58" s="22"/>
    </row>
    <row r="59" spans="8:10" ht="12.75">
      <c r="H59" s="13"/>
      <c r="J59" s="22"/>
    </row>
    <row r="60" spans="8:10" ht="12.75">
      <c r="H60" s="13"/>
      <c r="J60" s="22"/>
    </row>
    <row r="61" spans="8:10" ht="12.75">
      <c r="H61" s="13"/>
      <c r="J61" s="22"/>
    </row>
    <row r="62" spans="8:10" ht="12.75">
      <c r="H62" s="13"/>
      <c r="J62" s="22"/>
    </row>
    <row r="63" spans="8:10" ht="12.75">
      <c r="H63" s="13"/>
      <c r="J63" s="22"/>
    </row>
    <row r="64" spans="8:10" ht="12.75">
      <c r="H64" s="13"/>
      <c r="J64" s="22"/>
    </row>
    <row r="65" spans="8:10" ht="12.75">
      <c r="H65" s="13"/>
      <c r="J65" s="22"/>
    </row>
    <row r="66" spans="8:10" ht="12.75">
      <c r="H66" s="13"/>
      <c r="J66" s="22"/>
    </row>
    <row r="67" spans="8:10" ht="12.75">
      <c r="H67" s="13"/>
      <c r="J67" s="22"/>
    </row>
    <row r="68" spans="8:10" ht="12.75">
      <c r="H68" s="13"/>
      <c r="J68" s="22"/>
    </row>
    <row r="69" spans="8:10" ht="12.75">
      <c r="H69" s="13"/>
      <c r="J69" s="22"/>
    </row>
    <row r="70" spans="8:10" ht="12.75">
      <c r="H70" s="13"/>
      <c r="J70" s="22"/>
    </row>
    <row r="71" spans="8:10" ht="12.75">
      <c r="H71" s="13"/>
      <c r="J71" s="22"/>
    </row>
    <row r="72" spans="8:10" ht="12.75">
      <c r="H72" s="13"/>
      <c r="J72" s="22"/>
    </row>
    <row r="73" spans="8:10" ht="12.75">
      <c r="H73" s="13"/>
      <c r="J73" s="22"/>
    </row>
    <row r="74" spans="8:10" ht="12.75">
      <c r="H74" s="13"/>
      <c r="J74" s="22"/>
    </row>
    <row r="75" spans="8:10" ht="12.75">
      <c r="H75" s="13"/>
      <c r="J75" s="22"/>
    </row>
    <row r="76" spans="8:10" ht="12.75">
      <c r="H76" s="13"/>
      <c r="J76" s="22"/>
    </row>
    <row r="77" spans="8:10" ht="12.75">
      <c r="H77" s="13"/>
      <c r="J77" s="22"/>
    </row>
    <row r="78" spans="8:10" ht="12.75">
      <c r="H78" s="13"/>
      <c r="J78" s="22"/>
    </row>
    <row r="79" spans="8:10" ht="12.75">
      <c r="H79" s="13"/>
      <c r="J79" s="22"/>
    </row>
    <row r="80" spans="8:10" ht="12.75">
      <c r="H80" s="13"/>
      <c r="J80" s="22"/>
    </row>
    <row r="81" spans="8:10" ht="12.75">
      <c r="H81" s="13"/>
      <c r="J81" s="22"/>
    </row>
    <row r="82" spans="8:10" ht="12.75">
      <c r="H82" s="13"/>
      <c r="J82" s="22"/>
    </row>
    <row r="83" spans="8:10" ht="12.75">
      <c r="H83" s="13"/>
      <c r="J83" s="22"/>
    </row>
    <row r="84" spans="8:10" ht="12.75">
      <c r="H84" s="13"/>
      <c r="J84" s="22"/>
    </row>
    <row r="85" spans="8:10" ht="12.75">
      <c r="H85" s="13"/>
      <c r="J85" s="22"/>
    </row>
    <row r="86" spans="8:10" ht="12.75">
      <c r="H86" s="13"/>
      <c r="J86" s="22"/>
    </row>
    <row r="87" spans="8:10" ht="12.75">
      <c r="H87" s="13"/>
      <c r="J87" s="22"/>
    </row>
    <row r="88" spans="8:10" ht="12.75">
      <c r="H88" s="13"/>
      <c r="J88" s="22"/>
    </row>
    <row r="89" spans="8:10" ht="12.75">
      <c r="H89" s="13"/>
      <c r="J89" s="22"/>
    </row>
    <row r="90" spans="8:10" ht="12.75">
      <c r="H90" s="13"/>
      <c r="J90" s="22"/>
    </row>
    <row r="91" spans="8:10" ht="12.75">
      <c r="H91" s="13"/>
      <c r="J91" s="22"/>
    </row>
    <row r="92" spans="8:10" ht="12.75">
      <c r="H92" s="13"/>
      <c r="J92" s="22"/>
    </row>
    <row r="93" spans="8:10" ht="12.75">
      <c r="H93" s="13"/>
      <c r="J93" s="22"/>
    </row>
    <row r="94" spans="8:10" ht="12.75">
      <c r="H94" s="13"/>
      <c r="J94" s="22"/>
    </row>
    <row r="95" spans="8:10" ht="12.75">
      <c r="H95" s="13"/>
      <c r="J95" s="22"/>
    </row>
    <row r="96" spans="8:10" ht="12.75">
      <c r="H96" s="13"/>
      <c r="J96" s="22"/>
    </row>
    <row r="97" spans="8:10" ht="12.75">
      <c r="H97" s="13"/>
      <c r="J97" s="22"/>
    </row>
    <row r="98" spans="8:10" ht="12.75">
      <c r="H98" s="13"/>
      <c r="J98" s="22"/>
    </row>
    <row r="99" spans="8:10" ht="12.75">
      <c r="H99" s="13"/>
      <c r="J99" s="22"/>
    </row>
    <row r="100" spans="8:10" ht="12.75">
      <c r="H100" s="13"/>
      <c r="J100" s="22"/>
    </row>
    <row r="101" spans="8:10" ht="12.75">
      <c r="H101" s="13"/>
      <c r="J101" s="22"/>
    </row>
    <row r="102" spans="8:10" ht="12.75">
      <c r="H102" s="13"/>
      <c r="J102" s="22"/>
    </row>
    <row r="103" spans="8:10" ht="12.75">
      <c r="H103" s="13"/>
      <c r="J103" s="22"/>
    </row>
    <row r="104" spans="8:10" ht="12.75">
      <c r="H104" s="13"/>
      <c r="J104" s="22"/>
    </row>
    <row r="105" spans="8:10" ht="12.75">
      <c r="H105" s="13"/>
      <c r="J105" s="22"/>
    </row>
    <row r="106" spans="8:10" ht="12.75">
      <c r="H106" s="13"/>
      <c r="J106" s="22"/>
    </row>
    <row r="107" spans="8:10" ht="12.75">
      <c r="H107" s="13"/>
      <c r="J107" s="22"/>
    </row>
    <row r="108" spans="8:10" ht="12.75">
      <c r="H108" s="13"/>
      <c r="J108" s="22"/>
    </row>
    <row r="109" spans="8:10" ht="12.75">
      <c r="H109" s="13"/>
      <c r="J109" s="22"/>
    </row>
    <row r="110" spans="8:10" ht="12.75">
      <c r="H110" s="13"/>
      <c r="J110" s="22"/>
    </row>
    <row r="111" spans="8:10" ht="12.75">
      <c r="H111" s="13"/>
      <c r="J111" s="22"/>
    </row>
    <row r="112" spans="8:10" ht="12.75">
      <c r="H112" s="13"/>
      <c r="J112" s="22"/>
    </row>
    <row r="113" spans="8:10" ht="12.75">
      <c r="H113" s="13"/>
      <c r="J113" s="22"/>
    </row>
    <row r="114" spans="8:10" ht="12.75">
      <c r="H114" s="13"/>
      <c r="J114" s="22"/>
    </row>
    <row r="115" spans="8:10" ht="12.75">
      <c r="H115" s="13"/>
      <c r="J115" s="22"/>
    </row>
    <row r="116" spans="8:10" ht="12.75">
      <c r="H116" s="13"/>
      <c r="J116" s="22"/>
    </row>
    <row r="117" spans="8:10" ht="12.75">
      <c r="H117" s="13"/>
      <c r="J117" s="22"/>
    </row>
    <row r="118" spans="8:10" ht="12.75">
      <c r="H118" s="13"/>
      <c r="J118" s="22"/>
    </row>
    <row r="119" spans="8:10" ht="12.75">
      <c r="H119" s="13"/>
      <c r="J119" s="22"/>
    </row>
    <row r="120" spans="8:10" ht="12.75">
      <c r="H120" s="13"/>
      <c r="J120" s="22"/>
    </row>
    <row r="121" spans="8:10" ht="12.75">
      <c r="H121" s="13"/>
      <c r="J121" s="22"/>
    </row>
    <row r="122" spans="8:10" ht="12.75">
      <c r="H122" s="13"/>
      <c r="J122" s="22"/>
    </row>
    <row r="123" spans="8:10" ht="12.75">
      <c r="H123" s="13"/>
      <c r="J123" s="22"/>
    </row>
    <row r="124" spans="8:10" ht="12.75">
      <c r="H124" s="13"/>
      <c r="J124" s="22"/>
    </row>
    <row r="125" spans="8:10" ht="12.75">
      <c r="H125" s="13"/>
      <c r="J125" s="22"/>
    </row>
    <row r="126" spans="8:10" ht="12.75">
      <c r="H126" s="13"/>
      <c r="J126" s="22"/>
    </row>
    <row r="127" spans="8:10" ht="12.75">
      <c r="H127" s="13"/>
      <c r="J127" s="22"/>
    </row>
    <row r="128" spans="8:10" ht="12.75">
      <c r="H128" s="13"/>
      <c r="J128" s="22"/>
    </row>
    <row r="129" spans="8:10" ht="12.75">
      <c r="H129" s="13"/>
      <c r="J129" s="22"/>
    </row>
    <row r="130" spans="8:10" ht="12.75">
      <c r="H130" s="13"/>
      <c r="J130" s="22"/>
    </row>
    <row r="131" spans="8:10" ht="12.75">
      <c r="H131" s="13"/>
      <c r="J131" s="22"/>
    </row>
    <row r="132" spans="8:10" ht="12.75">
      <c r="H132" s="13"/>
      <c r="J132" s="22"/>
    </row>
    <row r="133" spans="8:10" ht="12.75">
      <c r="H133" s="13"/>
      <c r="J133" s="22"/>
    </row>
    <row r="134" spans="8:10" ht="12.75">
      <c r="H134" s="13"/>
      <c r="J134" s="22"/>
    </row>
    <row r="135" spans="8:10" ht="12.75">
      <c r="H135" s="13"/>
      <c r="J135" s="22"/>
    </row>
    <row r="136" spans="8:10" ht="12.75">
      <c r="H136" s="13"/>
      <c r="J136" s="22"/>
    </row>
    <row r="137" spans="8:10" ht="12.75">
      <c r="H137" s="13"/>
      <c r="J137" s="22"/>
    </row>
    <row r="138" spans="8:10" ht="12.75">
      <c r="H138" s="13"/>
      <c r="J138" s="22"/>
    </row>
    <row r="139" spans="8:10" ht="12.75">
      <c r="H139" s="13"/>
      <c r="J139" s="22"/>
    </row>
    <row r="140" spans="8:10" ht="12.75">
      <c r="H140" s="13"/>
      <c r="J140" s="22"/>
    </row>
    <row r="141" spans="8:10" ht="12.75">
      <c r="H141" s="13"/>
      <c r="J141" s="22"/>
    </row>
    <row r="142" spans="8:10" ht="12.75">
      <c r="H142" s="13"/>
      <c r="J142" s="22"/>
    </row>
    <row r="143" spans="8:10" ht="12.75">
      <c r="H143" s="13"/>
      <c r="J143" s="22"/>
    </row>
    <row r="144" spans="8:10" ht="12.75">
      <c r="H144" s="13"/>
      <c r="J144" s="22"/>
    </row>
    <row r="145" spans="8:10" ht="12.75">
      <c r="H145" s="13"/>
      <c r="J145" s="22"/>
    </row>
    <row r="146" spans="8:10" ht="12.75">
      <c r="H146" s="13"/>
      <c r="J146" s="22"/>
    </row>
    <row r="147" spans="8:10" ht="12.75">
      <c r="H147" s="13"/>
      <c r="J147" s="22"/>
    </row>
    <row r="148" spans="8:10" ht="12.75">
      <c r="H148" s="13"/>
      <c r="J148" s="22"/>
    </row>
    <row r="149" spans="8:10" ht="12.75">
      <c r="H149" s="13"/>
      <c r="J149" s="22"/>
    </row>
    <row r="150" spans="8:10" ht="12.75">
      <c r="H150" s="13"/>
      <c r="J150" s="22"/>
    </row>
    <row r="151" spans="8:10" ht="12.75">
      <c r="H151" s="13"/>
      <c r="J151" s="22"/>
    </row>
    <row r="152" spans="8:10" ht="12.75">
      <c r="H152" s="13"/>
      <c r="J152" s="22"/>
    </row>
    <row r="153" spans="8:10" ht="12.75">
      <c r="H153" s="13"/>
      <c r="J153" s="22"/>
    </row>
    <row r="154" spans="8:10" ht="12.75">
      <c r="H154" s="13"/>
      <c r="J154" s="22"/>
    </row>
    <row r="155" spans="8:10" ht="12.75">
      <c r="H155" s="13"/>
      <c r="J155" s="22"/>
    </row>
    <row r="156" spans="8:10" ht="12.75">
      <c r="H156" s="13"/>
      <c r="J156" s="22"/>
    </row>
    <row r="157" spans="8:10" ht="12.75">
      <c r="H157" s="13"/>
      <c r="J157" s="22"/>
    </row>
    <row r="158" spans="8:10" ht="12.75">
      <c r="H158" s="13"/>
      <c r="J158" s="22"/>
    </row>
    <row r="159" spans="8:10" ht="12.75">
      <c r="H159" s="13"/>
      <c r="J159" s="22"/>
    </row>
    <row r="160" spans="8:10" ht="12.75">
      <c r="H160" s="13"/>
      <c r="J160" s="22"/>
    </row>
    <row r="161" spans="8:10" ht="12.75">
      <c r="H161" s="13"/>
      <c r="J161" s="22"/>
    </row>
    <row r="162" spans="8:10" ht="12.75">
      <c r="H162" s="13"/>
      <c r="J162" s="22"/>
    </row>
    <row r="163" spans="8:10" ht="12.75">
      <c r="H163" s="13"/>
      <c r="J163" s="22"/>
    </row>
    <row r="164" spans="8:10" ht="12.75">
      <c r="H164" s="13"/>
      <c r="J164" s="22"/>
    </row>
    <row r="165" spans="8:10" ht="12.75">
      <c r="H165" s="13"/>
      <c r="J165" s="22"/>
    </row>
    <row r="166" spans="8:10" ht="12.75">
      <c r="H166" s="13"/>
      <c r="J166" s="22"/>
    </row>
    <row r="167" spans="8:10" ht="12.75">
      <c r="H167" s="13"/>
      <c r="J167" s="22"/>
    </row>
    <row r="168" spans="8:10" ht="12.75">
      <c r="H168" s="13"/>
      <c r="J168" s="22"/>
    </row>
    <row r="169" spans="8:10" ht="12.75">
      <c r="H169" s="13"/>
      <c r="J169" s="22"/>
    </row>
    <row r="170" spans="8:10" ht="12.75">
      <c r="H170" s="13"/>
      <c r="J170" s="22"/>
    </row>
    <row r="171" spans="8:10" ht="12.75">
      <c r="H171" s="13"/>
      <c r="J171" s="22"/>
    </row>
    <row r="172" spans="8:10" ht="12.75">
      <c r="H172" s="13"/>
      <c r="J172" s="22"/>
    </row>
    <row r="173" spans="8:10" ht="12.75">
      <c r="H173" s="13"/>
      <c r="J173" s="22"/>
    </row>
    <row r="174" spans="8:10" ht="12.75">
      <c r="H174" s="13"/>
      <c r="J174" s="22"/>
    </row>
    <row r="175" spans="8:10" ht="12.75">
      <c r="H175" s="13"/>
      <c r="J175" s="22"/>
    </row>
    <row r="176" spans="8:10" ht="12.75">
      <c r="H176" s="13"/>
      <c r="J176" s="22"/>
    </row>
    <row r="177" spans="8:10" ht="12.75">
      <c r="H177" s="13"/>
      <c r="J177" s="22"/>
    </row>
    <row r="178" spans="8:10" ht="12.75">
      <c r="H178" s="13"/>
      <c r="J178" s="22"/>
    </row>
    <row r="179" spans="8:10" ht="12.75">
      <c r="H179" s="13"/>
      <c r="J179" s="22"/>
    </row>
    <row r="180" spans="8:10" ht="12.75">
      <c r="H180" s="13"/>
      <c r="J180" s="22"/>
    </row>
    <row r="181" spans="8:10" ht="12.75">
      <c r="H181" s="13"/>
      <c r="J181" s="22"/>
    </row>
    <row r="182" spans="8:10" ht="12.75">
      <c r="H182" s="13"/>
      <c r="J182" s="22"/>
    </row>
    <row r="183" spans="8:10" ht="12.75">
      <c r="H183" s="13"/>
      <c r="J183" s="22"/>
    </row>
    <row r="184" spans="8:10" ht="12.75">
      <c r="H184" s="13"/>
      <c r="J184" s="22"/>
    </row>
    <row r="185" spans="8:10" ht="12.75">
      <c r="H185" s="13"/>
      <c r="J185" s="22"/>
    </row>
    <row r="186" spans="8:10" ht="12.75">
      <c r="H186" s="13"/>
      <c r="J186" s="22"/>
    </row>
    <row r="187" spans="8:10" ht="12.75">
      <c r="H187" s="13"/>
      <c r="J187" s="22"/>
    </row>
    <row r="188" spans="8:10" ht="12.75">
      <c r="H188" s="13"/>
      <c r="J188" s="22"/>
    </row>
    <row r="189" spans="8:10" ht="12.75">
      <c r="H189" s="13"/>
      <c r="J189" s="22"/>
    </row>
    <row r="190" spans="8:10" ht="12.75">
      <c r="H190" s="13"/>
      <c r="J190" s="22"/>
    </row>
    <row r="191" spans="8:10" ht="12.75">
      <c r="H191" s="13"/>
      <c r="J191" s="22"/>
    </row>
    <row r="192" spans="8:10" ht="12.75">
      <c r="H192" s="13"/>
      <c r="J192" s="22"/>
    </row>
    <row r="193" spans="8:10" ht="12.75">
      <c r="H193" s="13"/>
      <c r="J193" s="22"/>
    </row>
    <row r="194" spans="8:10" ht="12.75">
      <c r="H194" s="13"/>
      <c r="J194" s="22"/>
    </row>
    <row r="195" spans="8:10" ht="12.75">
      <c r="H195" s="13"/>
      <c r="J195" s="22"/>
    </row>
    <row r="196" spans="8:10" ht="12.75">
      <c r="H196" s="13"/>
      <c r="J196" s="22"/>
    </row>
    <row r="197" spans="8:10" ht="12.75">
      <c r="H197" s="13"/>
      <c r="J197" s="22"/>
    </row>
    <row r="198" spans="8:10" ht="12.75">
      <c r="H198" s="13"/>
      <c r="J198" s="22"/>
    </row>
    <row r="199" spans="8:10" ht="12.75">
      <c r="H199" s="13"/>
      <c r="J199" s="22"/>
    </row>
    <row r="200" spans="8:10" ht="12.75">
      <c r="H200" s="13"/>
      <c r="J200" s="22"/>
    </row>
    <row r="201" spans="8:10" ht="12.75">
      <c r="H201" s="13"/>
      <c r="J201" s="22"/>
    </row>
    <row r="202" spans="8:10" ht="12.75">
      <c r="H202" s="13"/>
      <c r="J202" s="22"/>
    </row>
    <row r="203" spans="8:10" ht="12.75">
      <c r="H203" s="13"/>
      <c r="J203" s="22"/>
    </row>
    <row r="204" spans="8:10" ht="12.75">
      <c r="H204" s="13"/>
      <c r="J204" s="22"/>
    </row>
    <row r="205" spans="8:10" ht="12.75">
      <c r="H205" s="13"/>
      <c r="J205" s="22"/>
    </row>
    <row r="206" spans="8:10" ht="12.75">
      <c r="H206" s="13"/>
      <c r="J206" s="22"/>
    </row>
    <row r="207" spans="8:10" ht="12.75">
      <c r="H207" s="13"/>
      <c r="J207" s="22"/>
    </row>
    <row r="208" spans="8:10" ht="12.75">
      <c r="H208" s="13"/>
      <c r="J208" s="22"/>
    </row>
    <row r="209" spans="8:10" ht="12.75">
      <c r="H209" s="13"/>
      <c r="J209" s="22"/>
    </row>
    <row r="210" spans="8:10" ht="12.75">
      <c r="H210" s="13"/>
      <c r="J210" s="22"/>
    </row>
    <row r="211" spans="8:10" ht="12.75">
      <c r="H211" s="13"/>
      <c r="J211" s="22"/>
    </row>
    <row r="212" spans="8:10" ht="12.75">
      <c r="H212" s="13"/>
      <c r="J212" s="22"/>
    </row>
    <row r="213" spans="8:10" ht="12.75">
      <c r="H213" s="13"/>
      <c r="J213" s="22"/>
    </row>
    <row r="214" spans="8:10" ht="12.75">
      <c r="H214" s="13"/>
      <c r="J214" s="22"/>
    </row>
    <row r="215" spans="8:10" ht="12.75">
      <c r="H215" s="13"/>
      <c r="J215" s="22"/>
    </row>
    <row r="216" spans="8:10" ht="12.75">
      <c r="H216" s="13"/>
      <c r="J216" s="22"/>
    </row>
    <row r="217" spans="8:10" ht="12.75">
      <c r="H217" s="13"/>
      <c r="J217" s="22"/>
    </row>
    <row r="218" spans="8:10" ht="12.75">
      <c r="H218" s="13"/>
      <c r="J218" s="22"/>
    </row>
    <row r="219" spans="8:10" ht="12.75">
      <c r="H219" s="13"/>
      <c r="J219" s="22"/>
    </row>
    <row r="220" spans="8:10" ht="12.75">
      <c r="H220" s="13"/>
      <c r="J220" s="22"/>
    </row>
    <row r="221" spans="8:10" ht="12.75">
      <c r="H221" s="13"/>
      <c r="J221" s="22"/>
    </row>
    <row r="222" spans="8:10" ht="12.75">
      <c r="H222" s="13"/>
      <c r="J222" s="22"/>
    </row>
    <row r="223" spans="8:10" ht="12.75">
      <c r="H223" s="13"/>
      <c r="J223" s="22"/>
    </row>
    <row r="224" spans="8:10" ht="12.75">
      <c r="H224" s="13"/>
      <c r="J224" s="22"/>
    </row>
    <row r="225" spans="8:10" ht="12.75">
      <c r="H225" s="13"/>
      <c r="J225" s="22"/>
    </row>
    <row r="226" spans="8:10" ht="12.75">
      <c r="H226" s="13"/>
      <c r="J226" s="22"/>
    </row>
    <row r="227" spans="8:10" ht="12.75">
      <c r="H227" s="13"/>
      <c r="J227" s="22"/>
    </row>
    <row r="228" spans="8:10" ht="12.75">
      <c r="H228" s="13"/>
      <c r="J228" s="22"/>
    </row>
    <row r="229" spans="8:10" ht="12.75">
      <c r="H229" s="13"/>
      <c r="J229" s="22"/>
    </row>
    <row r="230" spans="8:10" ht="12.75">
      <c r="H230" s="13"/>
      <c r="J230" s="22"/>
    </row>
    <row r="231" spans="8:10" ht="12.75">
      <c r="H231" s="13"/>
      <c r="J231" s="22"/>
    </row>
    <row r="232" spans="8:10" ht="12.75">
      <c r="H232" s="13"/>
      <c r="J232" s="22"/>
    </row>
    <row r="233" spans="8:10" ht="12.75">
      <c r="H233" s="13"/>
      <c r="J233" s="22"/>
    </row>
    <row r="234" spans="8:10" ht="12.75">
      <c r="H234" s="13"/>
      <c r="J234" s="22"/>
    </row>
    <row r="235" spans="8:10" ht="12.75">
      <c r="H235" s="13"/>
      <c r="J235" s="22"/>
    </row>
    <row r="236" spans="8:10" ht="12.75">
      <c r="H236" s="13"/>
      <c r="J236" s="22"/>
    </row>
    <row r="237" spans="8:10" ht="12.75">
      <c r="H237" s="13"/>
      <c r="J237" s="22"/>
    </row>
    <row r="238" spans="8:10" ht="12.75">
      <c r="H238" s="13"/>
      <c r="J238" s="22"/>
    </row>
    <row r="239" spans="8:10" ht="12.75">
      <c r="H239" s="13"/>
      <c r="J239" s="22"/>
    </row>
    <row r="240" spans="8:10" ht="12.75">
      <c r="H240" s="13"/>
      <c r="J240" s="22"/>
    </row>
    <row r="241" spans="8:10" ht="12.75">
      <c r="H241" s="13"/>
      <c r="J241" s="22"/>
    </row>
    <row r="242" spans="8:10" ht="12.75">
      <c r="H242" s="13"/>
      <c r="J242" s="22"/>
    </row>
    <row r="243" spans="8:10" ht="12.75">
      <c r="H243" s="13"/>
      <c r="J243" s="22"/>
    </row>
    <row r="244" spans="8:10" ht="12.75">
      <c r="H244" s="13"/>
      <c r="J244" s="22"/>
    </row>
    <row r="245" spans="8:10" ht="12.75">
      <c r="H245" s="13"/>
      <c r="J245" s="22"/>
    </row>
    <row r="246" spans="8:10" ht="12.75">
      <c r="H246" s="13"/>
      <c r="J246" s="22"/>
    </row>
    <row r="247" spans="8:10" ht="12.75">
      <c r="H247" s="13"/>
      <c r="J247" s="22"/>
    </row>
    <row r="248" spans="8:10" ht="12.75">
      <c r="H248" s="13"/>
      <c r="J248" s="22"/>
    </row>
    <row r="249" spans="8:10" ht="12.75">
      <c r="H249" s="13"/>
      <c r="J249" s="22"/>
    </row>
    <row r="250" spans="8:10" ht="12.75">
      <c r="H250" s="13"/>
      <c r="J250" s="22"/>
    </row>
    <row r="251" spans="8:10" ht="12.75">
      <c r="H251" s="13"/>
      <c r="J251" s="22"/>
    </row>
    <row r="252" spans="8:10" ht="12.75">
      <c r="H252" s="13"/>
      <c r="J252" s="22"/>
    </row>
    <row r="253" spans="8:10" ht="12.75">
      <c r="H253" s="13"/>
      <c r="J253" s="22"/>
    </row>
    <row r="254" spans="8:10" ht="12.75">
      <c r="H254" s="13"/>
      <c r="J254" s="22"/>
    </row>
    <row r="255" spans="8:10" ht="12.75">
      <c r="H255" s="13"/>
      <c r="J255" s="22"/>
    </row>
    <row r="256" spans="8:10" ht="12.75">
      <c r="H256" s="13"/>
      <c r="J256" s="22"/>
    </row>
    <row r="257" spans="8:10" ht="12.75">
      <c r="H257" s="13"/>
      <c r="J257" s="22"/>
    </row>
    <row r="258" spans="8:10" ht="12.75">
      <c r="H258" s="13"/>
      <c r="J258" s="22"/>
    </row>
    <row r="259" spans="8:10" ht="12.75">
      <c r="H259" s="13"/>
      <c r="J259" s="22"/>
    </row>
    <row r="260" spans="8:10" ht="12.75">
      <c r="H260" s="13"/>
      <c r="J260" s="22"/>
    </row>
    <row r="261" spans="8:10" ht="12.75">
      <c r="H261" s="13"/>
      <c r="J261" s="22"/>
    </row>
    <row r="262" spans="8:10" ht="12.75">
      <c r="H262" s="13"/>
      <c r="J262" s="22"/>
    </row>
    <row r="263" spans="8:10" ht="12.75">
      <c r="H263" s="13"/>
      <c r="J263" s="22"/>
    </row>
    <row r="264" spans="8:10" ht="12.75">
      <c r="H264" s="13"/>
      <c r="J264" s="22"/>
    </row>
    <row r="265" spans="8:10" ht="12.75">
      <c r="H265" s="13"/>
      <c r="J265" s="22"/>
    </row>
    <row r="266" spans="8:10" ht="12.75">
      <c r="H266" s="13"/>
      <c r="J266" s="22"/>
    </row>
    <row r="267" spans="8:10" ht="12.75">
      <c r="H267" s="13"/>
      <c r="J267" s="22"/>
    </row>
    <row r="268" spans="8:10" ht="12.75">
      <c r="H268" s="13"/>
      <c r="J268" s="22"/>
    </row>
    <row r="269" spans="8:10" ht="12.75">
      <c r="H269" s="13"/>
      <c r="J269" s="22"/>
    </row>
    <row r="270" spans="8:10" ht="12.75">
      <c r="H270" s="13"/>
      <c r="J270" s="22"/>
    </row>
    <row r="271" spans="8:10" ht="12.75">
      <c r="H271" s="13"/>
      <c r="J271" s="22"/>
    </row>
    <row r="272" spans="8:10" ht="12.75">
      <c r="H272" s="13"/>
      <c r="J272" s="22"/>
    </row>
    <row r="273" spans="8:10" ht="12.75">
      <c r="H273" s="13"/>
      <c r="J273" s="22"/>
    </row>
    <row r="274" spans="8:10" ht="12.75">
      <c r="H274" s="13"/>
      <c r="J274" s="22"/>
    </row>
    <row r="275" spans="8:10" ht="12.75">
      <c r="H275" s="13"/>
      <c r="J275" s="22"/>
    </row>
    <row r="276" spans="8:10" ht="12.75">
      <c r="H276" s="13"/>
      <c r="J276" s="22"/>
    </row>
    <row r="277" spans="8:10" ht="12.75">
      <c r="H277" s="13"/>
      <c r="J277" s="22"/>
    </row>
    <row r="278" spans="8:10" ht="12.75">
      <c r="H278" s="13"/>
      <c r="J278" s="22"/>
    </row>
    <row r="279" spans="8:10" ht="12.75">
      <c r="H279" s="13"/>
      <c r="J279" s="22"/>
    </row>
    <row r="280" spans="8:10" ht="12.75">
      <c r="H280" s="13"/>
      <c r="J280" s="22"/>
    </row>
    <row r="281" spans="8:10" ht="12.75">
      <c r="H281" s="13"/>
      <c r="J281" s="22"/>
    </row>
    <row r="282" spans="8:10" ht="12.75">
      <c r="H282" s="13"/>
      <c r="J282" s="22"/>
    </row>
    <row r="283" spans="8:10" ht="12.75">
      <c r="H283" s="13"/>
      <c r="J283" s="22"/>
    </row>
    <row r="284" spans="8:10" ht="12.75">
      <c r="H284" s="13"/>
      <c r="J284" s="22"/>
    </row>
    <row r="285" spans="8:10" ht="12.75">
      <c r="H285" s="13"/>
      <c r="J285" s="22"/>
    </row>
    <row r="286" spans="8:10" ht="12.75">
      <c r="H286" s="13"/>
      <c r="J286" s="22"/>
    </row>
    <row r="287" spans="8:10" ht="12.75">
      <c r="H287" s="13"/>
      <c r="J287" s="22"/>
    </row>
    <row r="288" spans="8:10" ht="12.75">
      <c r="H288" s="13"/>
      <c r="J288" s="22"/>
    </row>
    <row r="289" spans="8:10" ht="12.75">
      <c r="H289" s="13"/>
      <c r="J289" s="22"/>
    </row>
    <row r="290" spans="8:10" ht="12.75">
      <c r="H290" s="13"/>
      <c r="J290" s="22"/>
    </row>
    <row r="291" spans="8:10" ht="12.75">
      <c r="H291" s="13"/>
      <c r="J291" s="22"/>
    </row>
    <row r="292" spans="8:10" ht="12.75">
      <c r="H292" s="13"/>
      <c r="J292" s="22"/>
    </row>
    <row r="293" spans="8:10" ht="12.75">
      <c r="H293" s="13"/>
      <c r="J293" s="22"/>
    </row>
    <row r="294" spans="8:10" ht="12.75">
      <c r="H294" s="13"/>
      <c r="J294" s="22"/>
    </row>
    <row r="295" spans="8:10" ht="12.75">
      <c r="H295" s="13"/>
      <c r="J295" s="22"/>
    </row>
    <row r="296" spans="8:10" ht="12.75">
      <c r="H296" s="13"/>
      <c r="J296" s="22"/>
    </row>
    <row r="297" spans="8:10" ht="12.75">
      <c r="H297" s="13"/>
      <c r="J297" s="22"/>
    </row>
    <row r="298" spans="8:10" ht="12.75">
      <c r="H298" s="13"/>
      <c r="J298" s="22"/>
    </row>
    <row r="299" spans="8:10" ht="12.75">
      <c r="H299" s="13"/>
      <c r="J299" s="22"/>
    </row>
    <row r="300" spans="8:10" ht="12.75">
      <c r="H300" s="13"/>
      <c r="J300" s="22"/>
    </row>
    <row r="301" spans="8:10" ht="12.75">
      <c r="H301" s="13"/>
      <c r="J301" s="22"/>
    </row>
    <row r="302" spans="8:10" ht="12.75">
      <c r="H302" s="13"/>
      <c r="J302" s="22"/>
    </row>
    <row r="303" spans="8:10" ht="12.75">
      <c r="H303" s="13"/>
      <c r="J303" s="22"/>
    </row>
    <row r="304" spans="8:10" ht="12.75">
      <c r="H304" s="13"/>
      <c r="J304" s="22"/>
    </row>
    <row r="305" spans="8:10" ht="12.75">
      <c r="H305" s="13"/>
      <c r="J305" s="22"/>
    </row>
    <row r="306" spans="8:10" ht="12.75">
      <c r="H306" s="13"/>
      <c r="J306" s="22"/>
    </row>
    <row r="307" spans="8:10" ht="12.75">
      <c r="H307" s="13"/>
      <c r="J307" s="22"/>
    </row>
    <row r="308" spans="8:10" ht="12.75">
      <c r="H308" s="13"/>
      <c r="J308" s="22"/>
    </row>
    <row r="309" spans="8:10" ht="12.75">
      <c r="H309" s="13"/>
      <c r="J309" s="22"/>
    </row>
    <row r="310" spans="8:10" ht="12.75">
      <c r="H310" s="13"/>
      <c r="J310" s="22"/>
    </row>
    <row r="311" spans="8:10" ht="12.75">
      <c r="H311" s="13"/>
      <c r="J311" s="22"/>
    </row>
    <row r="312" spans="8:10" ht="12.75">
      <c r="H312" s="13"/>
      <c r="J312" s="22"/>
    </row>
    <row r="313" spans="8:10" ht="12.75">
      <c r="H313" s="13"/>
      <c r="J313" s="22"/>
    </row>
    <row r="314" spans="8:10" ht="12.75">
      <c r="H314" s="13"/>
      <c r="J314" s="22"/>
    </row>
    <row r="315" spans="8:10" ht="12.75">
      <c r="H315" s="13"/>
      <c r="J315" s="22"/>
    </row>
    <row r="316" spans="8:10" ht="12.75">
      <c r="H316" s="13"/>
      <c r="J316" s="22"/>
    </row>
    <row r="317" spans="8:10" ht="12.75">
      <c r="H317" s="13"/>
      <c r="J317" s="22"/>
    </row>
    <row r="318" spans="8:10" ht="12.75">
      <c r="H318" s="13"/>
      <c r="J318" s="22"/>
    </row>
    <row r="319" spans="8:10" ht="12.75">
      <c r="H319" s="13"/>
      <c r="J319" s="22"/>
    </row>
    <row r="320" spans="8:10" ht="12.75">
      <c r="H320" s="13"/>
      <c r="J320" s="22"/>
    </row>
    <row r="321" spans="8:10" ht="12.75">
      <c r="H321" s="13"/>
      <c r="J321" s="22"/>
    </row>
    <row r="322" spans="8:10" ht="12.75">
      <c r="H322" s="13"/>
      <c r="J322" s="22"/>
    </row>
    <row r="323" spans="8:10" ht="12.75">
      <c r="H323" s="13"/>
      <c r="J323" s="22"/>
    </row>
    <row r="324" spans="8:10" ht="12.75">
      <c r="H324" s="13"/>
      <c r="J324" s="22"/>
    </row>
    <row r="325" spans="8:10" ht="12.75">
      <c r="H325" s="13"/>
      <c r="J325" s="22"/>
    </row>
    <row r="326" spans="8:10" ht="12.75">
      <c r="H326" s="13"/>
      <c r="J326" s="22"/>
    </row>
    <row r="327" spans="8:10" ht="12.75">
      <c r="H327" s="13"/>
      <c r="J327" s="22"/>
    </row>
    <row r="328" spans="8:10" ht="12.75">
      <c r="H328" s="13"/>
      <c r="J328" s="22"/>
    </row>
    <row r="329" spans="8:10" ht="12.75">
      <c r="H329" s="13"/>
      <c r="J329" s="22"/>
    </row>
    <row r="330" spans="8:10" ht="12.75">
      <c r="H330" s="13"/>
      <c r="J330" s="22"/>
    </row>
    <row r="331" spans="8:10" ht="12.75">
      <c r="H331" s="13"/>
      <c r="J331" s="22"/>
    </row>
    <row r="332" spans="8:10" ht="12.75">
      <c r="H332" s="13"/>
      <c r="J332" s="22"/>
    </row>
    <row r="333" spans="8:10" ht="12.75">
      <c r="H333" s="13"/>
      <c r="J333" s="22"/>
    </row>
    <row r="334" spans="8:10" ht="12.75">
      <c r="H334" s="13"/>
      <c r="J334" s="22"/>
    </row>
    <row r="335" spans="8:10" ht="12.75">
      <c r="H335" s="13"/>
      <c r="J335" s="22"/>
    </row>
    <row r="336" spans="8:10" ht="12.75">
      <c r="H336" s="13"/>
      <c r="J336" s="22"/>
    </row>
    <row r="337" spans="8:10" ht="12.75">
      <c r="H337" s="13"/>
      <c r="J337" s="22"/>
    </row>
    <row r="338" spans="8:10" ht="12.75">
      <c r="H338" s="13"/>
      <c r="J338" s="22"/>
    </row>
    <row r="339" spans="8:10" ht="12.75">
      <c r="H339" s="13"/>
      <c r="J339" s="22"/>
    </row>
    <row r="340" spans="8:10" ht="12.75">
      <c r="H340" s="13"/>
      <c r="J340" s="22"/>
    </row>
    <row r="341" spans="8:10" ht="12.75">
      <c r="H341" s="13"/>
      <c r="J341" s="22"/>
    </row>
    <row r="342" spans="8:10" ht="12.75">
      <c r="H342" s="13"/>
      <c r="J342" s="22"/>
    </row>
    <row r="343" spans="8:10" ht="12.75">
      <c r="H343" s="13"/>
      <c r="J343" s="22"/>
    </row>
    <row r="344" spans="8:10" ht="12.75">
      <c r="H344" s="13"/>
      <c r="J344" s="22"/>
    </row>
    <row r="345" spans="8:10" ht="12.75">
      <c r="H345" s="13"/>
      <c r="J345" s="22"/>
    </row>
    <row r="346" spans="8:10" ht="12.75">
      <c r="H346" s="13"/>
      <c r="J346" s="22"/>
    </row>
    <row r="347" spans="8:10" ht="12.75">
      <c r="H347" s="13"/>
      <c r="J347" s="22"/>
    </row>
    <row r="348" spans="8:10" ht="12.75">
      <c r="H348" s="13"/>
      <c r="J348" s="22"/>
    </row>
    <row r="349" spans="8:10" ht="12.75">
      <c r="H349" s="13"/>
      <c r="J349" s="22"/>
    </row>
    <row r="350" spans="8:10" ht="12.75">
      <c r="H350" s="13"/>
      <c r="J350" s="22"/>
    </row>
    <row r="351" spans="8:10" ht="12.75">
      <c r="H351" s="13"/>
      <c r="J351" s="22"/>
    </row>
    <row r="352" spans="8:10" ht="12.75">
      <c r="H352" s="13"/>
      <c r="J352" s="22"/>
    </row>
    <row r="353" spans="8:10" ht="12.75">
      <c r="H353" s="13"/>
      <c r="J353" s="22"/>
    </row>
    <row r="354" spans="8:10" ht="12.75">
      <c r="H354" s="13"/>
      <c r="J354" s="22"/>
    </row>
    <row r="355" spans="8:10" ht="12.75">
      <c r="H355" s="13"/>
      <c r="J355" s="22"/>
    </row>
    <row r="356" spans="8:10" ht="12.75">
      <c r="H356" s="13"/>
      <c r="J356" s="22"/>
    </row>
    <row r="357" spans="8:10" ht="12.75">
      <c r="H357" s="13"/>
      <c r="J357" s="22"/>
    </row>
    <row r="358" spans="8:10" ht="12.75">
      <c r="H358" s="13"/>
      <c r="J358" s="22"/>
    </row>
    <row r="359" spans="8:10" ht="12.75">
      <c r="H359" s="13"/>
      <c r="J359" s="22"/>
    </row>
    <row r="360" spans="8:10" ht="12.75">
      <c r="H360" s="13"/>
      <c r="J360" s="22"/>
    </row>
    <row r="361" spans="8:10" ht="12.75">
      <c r="H361" s="13"/>
      <c r="J361" s="22"/>
    </row>
    <row r="362" spans="8:10" ht="12.75">
      <c r="H362" s="13"/>
      <c r="J362" s="22"/>
    </row>
    <row r="363" spans="8:10" ht="12.75">
      <c r="H363" s="13"/>
      <c r="J363" s="22"/>
    </row>
    <row r="364" spans="8:10" ht="12.75">
      <c r="H364" s="13"/>
      <c r="J364" s="22"/>
    </row>
    <row r="365" spans="8:10" ht="12.75">
      <c r="H365" s="13"/>
      <c r="J365" s="22"/>
    </row>
    <row r="366" spans="8:10" ht="12.75">
      <c r="H366" s="13"/>
      <c r="J366" s="22"/>
    </row>
    <row r="367" spans="8:10" ht="12.75">
      <c r="H367" s="13"/>
      <c r="J367" s="22"/>
    </row>
    <row r="368" spans="8:10" ht="12.75">
      <c r="H368" s="13"/>
      <c r="J368" s="22"/>
    </row>
    <row r="369" spans="8:10" ht="12.75">
      <c r="H369" s="13"/>
      <c r="J369" s="22"/>
    </row>
    <row r="370" spans="8:10" ht="12.75">
      <c r="H370" s="13"/>
      <c r="J370" s="22"/>
    </row>
    <row r="371" spans="8:10" ht="12.75">
      <c r="H371" s="13"/>
      <c r="J371" s="22"/>
    </row>
    <row r="372" spans="8:10" ht="12.75">
      <c r="H372" s="13"/>
      <c r="J372" s="22"/>
    </row>
    <row r="373" spans="8:10" ht="12.75">
      <c r="H373" s="13"/>
      <c r="J373" s="22"/>
    </row>
    <row r="374" spans="8:10" ht="12.75">
      <c r="H374" s="13"/>
      <c r="J374" s="22"/>
    </row>
    <row r="375" spans="8:10" ht="12.75">
      <c r="H375" s="13"/>
      <c r="J375" s="22"/>
    </row>
    <row r="376" spans="8:10" ht="12.75">
      <c r="H376" s="13"/>
      <c r="J376" s="22"/>
    </row>
    <row r="377" spans="8:10" ht="12.75">
      <c r="H377" s="13"/>
      <c r="J377" s="22"/>
    </row>
    <row r="378" spans="8:10" ht="12.75">
      <c r="H378" s="13"/>
      <c r="J378" s="22"/>
    </row>
    <row r="379" spans="8:10" ht="12.75">
      <c r="H379" s="13"/>
      <c r="J379" s="22"/>
    </row>
    <row r="380" spans="8:10" ht="12.75">
      <c r="H380" s="13"/>
      <c r="J380" s="22"/>
    </row>
    <row r="381" spans="8:10" ht="12.75">
      <c r="H381" s="13"/>
      <c r="J381" s="22"/>
    </row>
    <row r="382" spans="8:10" ht="12.75">
      <c r="H382" s="13"/>
      <c r="J382" s="22"/>
    </row>
    <row r="383" spans="8:10" ht="12.75">
      <c r="H383" s="13"/>
      <c r="J383" s="22"/>
    </row>
    <row r="384" spans="8:10" ht="12.75">
      <c r="H384" s="13"/>
      <c r="J384" s="22"/>
    </row>
    <row r="385" spans="8:10" ht="12.75">
      <c r="H385" s="13"/>
      <c r="J385" s="22"/>
    </row>
    <row r="386" spans="8:10" ht="12.75">
      <c r="H386" s="13"/>
      <c r="J386" s="22"/>
    </row>
    <row r="387" spans="8:10" ht="12.75">
      <c r="H387" s="13"/>
      <c r="J387" s="22"/>
    </row>
    <row r="388" spans="8:10" ht="12.75">
      <c r="H388" s="13"/>
      <c r="J388" s="22"/>
    </row>
    <row r="389" spans="8:10" ht="12.75">
      <c r="H389" s="13"/>
      <c r="J389" s="22"/>
    </row>
    <row r="390" spans="8:10" ht="12.75">
      <c r="H390" s="13"/>
      <c r="J390" s="22"/>
    </row>
    <row r="391" spans="8:10" ht="12.75">
      <c r="H391" s="13"/>
      <c r="J391" s="22"/>
    </row>
    <row r="392" spans="8:10" ht="12.75">
      <c r="H392" s="13"/>
      <c r="J392" s="22"/>
    </row>
    <row r="393" spans="8:10" ht="12.75">
      <c r="H393" s="13"/>
      <c r="J393" s="22"/>
    </row>
    <row r="394" spans="8:10" ht="12.75">
      <c r="H394" s="13"/>
      <c r="J394" s="22"/>
    </row>
    <row r="395" spans="8:10" ht="12.75">
      <c r="H395" s="13"/>
      <c r="J395" s="22"/>
    </row>
    <row r="396" spans="8:10" ht="12.75">
      <c r="H396" s="13"/>
      <c r="J396" s="22"/>
    </row>
    <row r="397" spans="8:10" ht="12.75">
      <c r="H397" s="13"/>
      <c r="J397" s="22"/>
    </row>
    <row r="398" spans="8:10" ht="12.75">
      <c r="H398" s="13"/>
      <c r="J398" s="22"/>
    </row>
    <row r="399" spans="8:10" ht="12.75">
      <c r="H399" s="13"/>
      <c r="J399" s="22"/>
    </row>
    <row r="400" spans="8:10" ht="12.75">
      <c r="H400" s="13"/>
      <c r="J400" s="22"/>
    </row>
    <row r="401" spans="8:10" ht="12.75">
      <c r="H401" s="13"/>
      <c r="J401" s="22"/>
    </row>
    <row r="402" spans="8:10" ht="12.75">
      <c r="H402" s="13"/>
      <c r="J402" s="22"/>
    </row>
    <row r="403" spans="8:10" ht="12.75">
      <c r="H403" s="13"/>
      <c r="J403" s="22"/>
    </row>
    <row r="404" spans="8:10" ht="12.75">
      <c r="H404" s="13"/>
      <c r="J404" s="22"/>
    </row>
    <row r="405" spans="8:10" ht="12.75">
      <c r="H405" s="13"/>
      <c r="J405" s="22"/>
    </row>
    <row r="406" spans="8:10" ht="12.75">
      <c r="H406" s="13"/>
      <c r="J406" s="22"/>
    </row>
    <row r="407" spans="8:10" ht="12.75">
      <c r="H407" s="13"/>
      <c r="J407" s="22"/>
    </row>
    <row r="408" spans="8:10" ht="12.75">
      <c r="H408" s="13"/>
      <c r="J408" s="22"/>
    </row>
    <row r="409" spans="8:10" ht="12.75">
      <c r="H409" s="13"/>
      <c r="J409" s="22"/>
    </row>
    <row r="410" spans="8:10" ht="12.75">
      <c r="H410" s="13"/>
      <c r="J410" s="22"/>
    </row>
    <row r="411" spans="8:10" ht="12.75">
      <c r="H411" s="13"/>
      <c r="J411" s="22"/>
    </row>
    <row r="412" spans="8:10" ht="12.75">
      <c r="H412" s="13"/>
      <c r="J412" s="22"/>
    </row>
    <row r="413" spans="8:10" ht="12.75">
      <c r="H413" s="13"/>
      <c r="J413" s="22"/>
    </row>
    <row r="414" spans="8:10" ht="12.75">
      <c r="H414" s="13"/>
      <c r="J414" s="22"/>
    </row>
    <row r="415" spans="8:10" ht="12.75">
      <c r="H415" s="13"/>
      <c r="J415" s="22"/>
    </row>
    <row r="416" spans="8:10" ht="12.75">
      <c r="H416" s="13"/>
      <c r="J416" s="22"/>
    </row>
    <row r="417" spans="8:10" ht="12.75">
      <c r="H417" s="13"/>
      <c r="J417" s="22"/>
    </row>
    <row r="418" spans="8:10" ht="12.75">
      <c r="H418" s="13"/>
      <c r="J418" s="22"/>
    </row>
    <row r="419" spans="8:10" ht="12.75">
      <c r="H419" s="13"/>
      <c r="J419" s="22"/>
    </row>
    <row r="420" spans="8:10" ht="12.75">
      <c r="H420" s="13"/>
      <c r="J420" s="22"/>
    </row>
    <row r="421" spans="8:10" ht="12.75">
      <c r="H421" s="13"/>
      <c r="J421" s="22"/>
    </row>
    <row r="422" spans="8:10" ht="12.75">
      <c r="H422" s="13"/>
      <c r="J422" s="22"/>
    </row>
    <row r="423" spans="8:10" ht="12.75">
      <c r="H423" s="13"/>
      <c r="J423" s="22"/>
    </row>
    <row r="424" spans="8:10" ht="12.75">
      <c r="H424" s="13"/>
      <c r="J424" s="22"/>
    </row>
    <row r="425" spans="8:10" ht="12.75">
      <c r="H425" s="13"/>
      <c r="J425" s="22"/>
    </row>
    <row r="426" spans="8:10" ht="12.75">
      <c r="H426" s="13"/>
      <c r="J426" s="22"/>
    </row>
    <row r="427" spans="8:10" ht="12.75">
      <c r="H427" s="13"/>
      <c r="J427" s="22"/>
    </row>
    <row r="428" spans="8:10" ht="12.75">
      <c r="H428" s="13"/>
      <c r="J428" s="22"/>
    </row>
    <row r="429" spans="8:10" ht="12.75">
      <c r="H429" s="13"/>
      <c r="J429" s="22"/>
    </row>
    <row r="430" spans="8:10" ht="12.75">
      <c r="H430" s="13"/>
      <c r="J430" s="22"/>
    </row>
    <row r="431" spans="8:10" ht="12.75">
      <c r="H431" s="13"/>
      <c r="J431" s="22"/>
    </row>
    <row r="432" spans="8:10" ht="12.75">
      <c r="H432" s="13"/>
      <c r="J432" s="22"/>
    </row>
    <row r="433" spans="8:10" ht="12.75">
      <c r="H433" s="13"/>
      <c r="J433" s="22"/>
    </row>
    <row r="434" spans="8:10" ht="12.75">
      <c r="H434" s="13"/>
      <c r="J434" s="22"/>
    </row>
    <row r="435" spans="8:10" ht="12.75">
      <c r="H435" s="13"/>
      <c r="J435" s="22"/>
    </row>
    <row r="436" spans="8:10" ht="12.75">
      <c r="H436" s="13"/>
      <c r="J436" s="22"/>
    </row>
    <row r="437" spans="8:10" ht="12.75">
      <c r="H437" s="13"/>
      <c r="J437" s="22"/>
    </row>
    <row r="438" spans="8:10" ht="12.75">
      <c r="H438" s="13"/>
      <c r="J438" s="22"/>
    </row>
    <row r="439" spans="8:10" ht="12.75">
      <c r="H439" s="13"/>
      <c r="J439" s="22"/>
    </row>
    <row r="440" spans="8:10" ht="12.75">
      <c r="H440" s="13"/>
      <c r="J440" s="22"/>
    </row>
    <row r="441" spans="8:10" ht="12.75">
      <c r="H441" s="13"/>
      <c r="J441" s="22"/>
    </row>
    <row r="442" spans="8:10" ht="12.75">
      <c r="H442" s="13"/>
      <c r="J442" s="22"/>
    </row>
    <row r="443" spans="8:10" ht="12.75">
      <c r="H443" s="13"/>
      <c r="J443" s="22"/>
    </row>
    <row r="444" spans="8:10" ht="12.75">
      <c r="H444" s="13"/>
      <c r="J444" s="22"/>
    </row>
    <row r="445" spans="8:10" ht="12.75">
      <c r="H445" s="13"/>
      <c r="J445" s="22"/>
    </row>
    <row r="446" spans="8:10" ht="12.75">
      <c r="H446" s="13"/>
      <c r="J446" s="22"/>
    </row>
    <row r="447" spans="8:10" ht="12.75">
      <c r="H447" s="13"/>
      <c r="J447" s="22"/>
    </row>
    <row r="448" spans="8:10" ht="12.75">
      <c r="H448" s="13"/>
      <c r="J448" s="22"/>
    </row>
    <row r="449" spans="8:10" ht="12.75">
      <c r="H449" s="13"/>
      <c r="J449" s="22"/>
    </row>
    <row r="450" spans="8:10" ht="12.75">
      <c r="H450" s="13"/>
      <c r="J450" s="22"/>
    </row>
    <row r="451" spans="8:10" ht="12.75">
      <c r="H451" s="13"/>
      <c r="J451" s="22"/>
    </row>
    <row r="452" spans="8:10" ht="12.75">
      <c r="H452" s="13"/>
      <c r="J452" s="22"/>
    </row>
    <row r="453" spans="8:10" ht="12.75">
      <c r="H453" s="13"/>
      <c r="J453" s="22"/>
    </row>
    <row r="454" spans="8:10" ht="12.75">
      <c r="H454" s="13"/>
      <c r="J454" s="22"/>
    </row>
    <row r="455" spans="8:10" ht="12.75">
      <c r="H455" s="13"/>
      <c r="J455" s="22"/>
    </row>
    <row r="456" spans="8:10" ht="12.75">
      <c r="H456" s="13"/>
      <c r="J456" s="22"/>
    </row>
    <row r="457" spans="8:10" ht="12.75">
      <c r="H457" s="13"/>
      <c r="J457" s="22"/>
    </row>
    <row r="458" spans="8:10" ht="12.75">
      <c r="H458" s="13"/>
      <c r="J458" s="22"/>
    </row>
    <row r="459" spans="8:10" ht="12.75">
      <c r="H459" s="13"/>
      <c r="J459" s="22"/>
    </row>
    <row r="460" spans="8:10" ht="12.75">
      <c r="H460" s="13"/>
      <c r="J460" s="22"/>
    </row>
    <row r="461" spans="8:10" ht="12.75">
      <c r="H461" s="13"/>
      <c r="J461" s="22"/>
    </row>
    <row r="462" spans="8:10" ht="12.75">
      <c r="H462" s="13"/>
      <c r="J462" s="22"/>
    </row>
    <row r="463" spans="8:10" ht="12.75">
      <c r="H463" s="13"/>
      <c r="J463" s="22"/>
    </row>
    <row r="464" spans="8:10" ht="12.75">
      <c r="H464" s="13"/>
      <c r="J464" s="22"/>
    </row>
    <row r="465" spans="8:10" ht="12.75">
      <c r="H465" s="13"/>
      <c r="J465" s="22"/>
    </row>
    <row r="466" spans="8:10" ht="12.75">
      <c r="H466" s="13"/>
      <c r="J466" s="22"/>
    </row>
    <row r="467" spans="8:10" ht="12.75">
      <c r="H467" s="13"/>
      <c r="J467" s="22"/>
    </row>
    <row r="468" spans="8:10" ht="12.75">
      <c r="H468" s="13"/>
      <c r="J468" s="22"/>
    </row>
    <row r="469" spans="8:10" ht="12.75">
      <c r="H469" s="13"/>
      <c r="J469" s="22"/>
    </row>
    <row r="470" spans="8:10" ht="12.75">
      <c r="H470" s="13"/>
      <c r="J470" s="22"/>
    </row>
    <row r="471" spans="8:10" ht="12.75">
      <c r="H471" s="13"/>
      <c r="J471" s="22"/>
    </row>
    <row r="472" spans="8:10" ht="12.75">
      <c r="H472" s="13"/>
      <c r="J472" s="22"/>
    </row>
    <row r="473" spans="8:10" ht="12.75">
      <c r="H473" s="13"/>
      <c r="J473" s="22"/>
    </row>
    <row r="474" spans="8:10" ht="12.75">
      <c r="H474" s="13"/>
      <c r="J474" s="22"/>
    </row>
    <row r="475" spans="8:10" ht="12.75">
      <c r="H475" s="13"/>
      <c r="J475" s="22"/>
    </row>
    <row r="476" spans="8:10" ht="12.75">
      <c r="H476" s="13"/>
      <c r="J476" s="22"/>
    </row>
    <row r="477" spans="8:10" ht="12.75">
      <c r="H477" s="13"/>
      <c r="J477" s="22"/>
    </row>
    <row r="478" spans="8:10" ht="12.75">
      <c r="H478" s="13"/>
      <c r="J478" s="22"/>
    </row>
    <row r="479" spans="8:10" ht="12.75">
      <c r="H479" s="13"/>
      <c r="J479" s="22"/>
    </row>
    <row r="480" spans="8:10" ht="12.75">
      <c r="H480" s="13"/>
      <c r="J480" s="22"/>
    </row>
    <row r="481" spans="8:10" ht="12.75">
      <c r="H481" s="13"/>
      <c r="J481" s="22"/>
    </row>
    <row r="482" spans="8:10" ht="12.75">
      <c r="H482" s="13"/>
      <c r="J482" s="22"/>
    </row>
    <row r="483" spans="8:10" ht="12.75">
      <c r="H483" s="13"/>
      <c r="J483" s="22"/>
    </row>
    <row r="484" spans="8:10" ht="12.75">
      <c r="H484" s="13"/>
      <c r="J484" s="22"/>
    </row>
    <row r="485" spans="8:10" ht="12.75">
      <c r="H485" s="13"/>
      <c r="J485" s="22"/>
    </row>
    <row r="486" spans="8:10" ht="12.75">
      <c r="H486" s="13"/>
      <c r="J486" s="22"/>
    </row>
    <row r="487" spans="8:10" ht="12.75">
      <c r="H487" s="13"/>
      <c r="J487" s="22"/>
    </row>
    <row r="488" spans="8:10" ht="12.75">
      <c r="H488" s="13"/>
      <c r="J488" s="22"/>
    </row>
    <row r="489" spans="8:10" ht="12.75">
      <c r="H489" s="13"/>
      <c r="J489" s="22"/>
    </row>
    <row r="490" spans="8:10" ht="12.75">
      <c r="H490" s="13"/>
      <c r="J490" s="22"/>
    </row>
    <row r="491" spans="8:10" ht="12.75">
      <c r="H491" s="13"/>
      <c r="J491" s="22"/>
    </row>
    <row r="492" spans="8:10" ht="12.75">
      <c r="H492" s="13"/>
      <c r="J492" s="22"/>
    </row>
    <row r="493" spans="8:10" ht="12.75">
      <c r="H493" s="13"/>
      <c r="J493" s="22"/>
    </row>
    <row r="494" spans="8:10" ht="12.75">
      <c r="H494" s="13"/>
      <c r="J494" s="22"/>
    </row>
    <row r="495" spans="8:10" ht="12.75">
      <c r="H495" s="13"/>
      <c r="J495" s="22"/>
    </row>
    <row r="496" spans="8:10" ht="12.75">
      <c r="H496" s="13"/>
      <c r="J496" s="22"/>
    </row>
    <row r="497" spans="8:10" ht="12.75">
      <c r="H497" s="13"/>
      <c r="J497" s="22"/>
    </row>
    <row r="498" spans="8:10" ht="12.75">
      <c r="H498" s="13"/>
      <c r="J498" s="22"/>
    </row>
    <row r="499" spans="8:10" ht="12.75">
      <c r="H499" s="13"/>
      <c r="J499" s="22"/>
    </row>
    <row r="500" spans="8:10" ht="12.75">
      <c r="H500" s="13"/>
      <c r="J500" s="22"/>
    </row>
    <row r="501" spans="8:10" ht="12.75">
      <c r="H501" s="13"/>
      <c r="J501" s="22"/>
    </row>
    <row r="502" spans="8:10" ht="12.75">
      <c r="H502" s="13"/>
      <c r="J502" s="22"/>
    </row>
    <row r="503" spans="8:10" ht="12.75">
      <c r="H503" s="13"/>
      <c r="J503" s="22"/>
    </row>
    <row r="504" spans="8:10" ht="12.75">
      <c r="H504" s="13"/>
      <c r="J504" s="22"/>
    </row>
    <row r="505" spans="8:10" ht="12.75">
      <c r="H505" s="13"/>
      <c r="J505" s="22"/>
    </row>
    <row r="506" spans="8:10" ht="12.75">
      <c r="H506" s="13"/>
      <c r="J506" s="22"/>
    </row>
    <row r="507" spans="8:10" ht="12.75">
      <c r="H507" s="13"/>
      <c r="J507" s="22"/>
    </row>
    <row r="508" spans="8:10" ht="12.75">
      <c r="H508" s="13"/>
      <c r="J508" s="22"/>
    </row>
    <row r="509" spans="8:10" ht="12.75">
      <c r="H509" s="13"/>
      <c r="J509" s="22"/>
    </row>
    <row r="510" spans="8:10" ht="12.75">
      <c r="H510" s="13"/>
      <c r="J510" s="22"/>
    </row>
    <row r="511" spans="8:10" ht="12.75">
      <c r="H511" s="13"/>
      <c r="J511" s="22"/>
    </row>
    <row r="512" spans="8:10" ht="12.75">
      <c r="H512" s="13"/>
      <c r="J512" s="22"/>
    </row>
    <row r="513" spans="8:10" ht="12.75">
      <c r="H513" s="13"/>
      <c r="J513" s="22"/>
    </row>
    <row r="514" spans="8:10" ht="12.75">
      <c r="H514" s="13"/>
      <c r="J514" s="22"/>
    </row>
    <row r="515" spans="8:10" ht="12.75">
      <c r="H515" s="13"/>
      <c r="J515" s="22"/>
    </row>
    <row r="516" spans="8:10" ht="12.75">
      <c r="H516" s="13"/>
      <c r="J516" s="22"/>
    </row>
    <row r="517" spans="8:10" ht="12.75">
      <c r="H517" s="13"/>
      <c r="J517" s="22"/>
    </row>
    <row r="518" spans="8:10" ht="12.75">
      <c r="H518" s="13"/>
      <c r="J518" s="22"/>
    </row>
    <row r="519" spans="8:10" ht="12.75">
      <c r="H519" s="13"/>
      <c r="J519" s="22"/>
    </row>
    <row r="520" spans="8:10" ht="12.75">
      <c r="H520" s="13"/>
      <c r="J520" s="22"/>
    </row>
    <row r="521" spans="8:10" ht="12.75">
      <c r="H521" s="13"/>
      <c r="J521" s="22"/>
    </row>
    <row r="522" spans="8:10" ht="12.75">
      <c r="H522" s="13"/>
      <c r="J522" s="22"/>
    </row>
    <row r="523" spans="8:10" ht="12.75">
      <c r="H523" s="13"/>
      <c r="J523" s="22"/>
    </row>
    <row r="524" spans="8:10" ht="12.75">
      <c r="H524" s="13"/>
      <c r="J524" s="22"/>
    </row>
    <row r="525" spans="8:10" ht="12.75">
      <c r="H525" s="13"/>
      <c r="J525" s="22"/>
    </row>
    <row r="526" spans="8:10" ht="12.75">
      <c r="H526" s="13"/>
      <c r="J526" s="22"/>
    </row>
    <row r="527" spans="8:10" ht="12.75">
      <c r="H527" s="13"/>
      <c r="J527" s="22"/>
    </row>
    <row r="528" spans="8:10" ht="12.75">
      <c r="H528" s="13"/>
      <c r="J528" s="22"/>
    </row>
    <row r="529" spans="8:10" ht="12.75">
      <c r="H529" s="13"/>
      <c r="J529" s="22"/>
    </row>
    <row r="530" spans="8:10" ht="12.75">
      <c r="H530" s="13"/>
      <c r="J530" s="22"/>
    </row>
    <row r="531" spans="8:10" ht="12.75">
      <c r="H531" s="13"/>
      <c r="J531" s="22"/>
    </row>
    <row r="532" spans="8:10" ht="12.75">
      <c r="H532" s="13"/>
      <c r="J532" s="22"/>
    </row>
    <row r="533" spans="8:10" ht="12.75">
      <c r="H533" s="13"/>
      <c r="J533" s="22"/>
    </row>
    <row r="534" spans="8:10" ht="12.75">
      <c r="H534" s="13"/>
      <c r="J534" s="22"/>
    </row>
    <row r="535" spans="8:10" ht="12.75">
      <c r="H535" s="13"/>
      <c r="J535" s="22"/>
    </row>
    <row r="536" spans="8:10" ht="12.75">
      <c r="H536" s="13"/>
      <c r="J536" s="22"/>
    </row>
    <row r="537" spans="8:10" ht="12.75">
      <c r="H537" s="13"/>
      <c r="J537" s="22"/>
    </row>
    <row r="538" spans="8:10" ht="12.75">
      <c r="H538" s="13"/>
      <c r="J538" s="22"/>
    </row>
    <row r="539" spans="8:10" ht="12.75">
      <c r="H539" s="13"/>
      <c r="J539" s="22"/>
    </row>
    <row r="540" spans="8:10" ht="12.75">
      <c r="H540" s="13"/>
      <c r="J540" s="22"/>
    </row>
    <row r="541" spans="8:10" ht="12.75">
      <c r="H541" s="13"/>
      <c r="J541" s="22"/>
    </row>
    <row r="542" spans="8:10" ht="12.75">
      <c r="H542" s="13"/>
      <c r="J542" s="22"/>
    </row>
    <row r="543" spans="8:10" ht="12.75">
      <c r="H543" s="13"/>
      <c r="J543" s="22"/>
    </row>
    <row r="544" spans="8:10" ht="12.75">
      <c r="H544" s="13"/>
      <c r="J544" s="22"/>
    </row>
    <row r="545" spans="8:10" ht="12.75">
      <c r="H545" s="13"/>
      <c r="J545" s="22"/>
    </row>
    <row r="546" spans="8:10" ht="12.75">
      <c r="H546" s="13"/>
      <c r="J546" s="22"/>
    </row>
    <row r="547" spans="8:10" ht="12.75">
      <c r="H547" s="13"/>
      <c r="J547" s="22"/>
    </row>
    <row r="548" spans="8:10" ht="12.75">
      <c r="H548" s="13"/>
      <c r="J548" s="22"/>
    </row>
    <row r="549" spans="8:10" ht="12.75">
      <c r="H549" s="13"/>
      <c r="J549" s="22"/>
    </row>
    <row r="550" spans="8:10" ht="12.75">
      <c r="H550" s="13"/>
      <c r="J550" s="22"/>
    </row>
    <row r="551" spans="8:10" ht="12.75">
      <c r="H551" s="13"/>
      <c r="J551" s="22"/>
    </row>
    <row r="552" spans="8:10" ht="12.75">
      <c r="H552" s="13"/>
      <c r="J552" s="22"/>
    </row>
    <row r="553" spans="8:10" ht="12.75">
      <c r="H553" s="13"/>
      <c r="J553" s="22"/>
    </row>
    <row r="554" spans="8:10" ht="12.75">
      <c r="H554" s="13"/>
      <c r="J554" s="22"/>
    </row>
    <row r="555" spans="8:10" ht="12.75">
      <c r="H555" s="13"/>
      <c r="J555" s="22"/>
    </row>
    <row r="556" spans="8:10" ht="12.75">
      <c r="H556" s="13"/>
      <c r="J556" s="22"/>
    </row>
    <row r="557" spans="8:10" ht="12.75">
      <c r="H557" s="13"/>
      <c r="J557" s="22"/>
    </row>
    <row r="558" spans="8:10" ht="12.75">
      <c r="H558" s="13"/>
      <c r="J558" s="22"/>
    </row>
    <row r="559" spans="8:10" ht="12.75">
      <c r="H559" s="13"/>
      <c r="J559" s="22"/>
    </row>
    <row r="560" spans="8:10" ht="12.75">
      <c r="H560" s="13"/>
      <c r="J560" s="22"/>
    </row>
    <row r="561" spans="8:10" ht="12.75">
      <c r="H561" s="13"/>
      <c r="J561" s="22"/>
    </row>
    <row r="562" spans="8:10" ht="12.75">
      <c r="H562" s="13"/>
      <c r="J562" s="22"/>
    </row>
    <row r="563" spans="8:10" ht="12.75">
      <c r="H563" s="13"/>
      <c r="J563" s="22"/>
    </row>
    <row r="564" spans="8:10" ht="12.75">
      <c r="H564" s="13"/>
      <c r="J564" s="22"/>
    </row>
    <row r="565" spans="8:10" ht="12.75">
      <c r="H565" s="13"/>
      <c r="J565" s="22"/>
    </row>
    <row r="566" spans="8:10" ht="12.75">
      <c r="H566" s="13"/>
      <c r="J566" s="22"/>
    </row>
    <row r="567" spans="8:10" ht="12.75">
      <c r="H567" s="13"/>
      <c r="J567" s="22"/>
    </row>
    <row r="568" spans="8:10" ht="12.75">
      <c r="H568" s="13"/>
      <c r="J568" s="22"/>
    </row>
    <row r="569" spans="8:10" ht="12.75">
      <c r="H569" s="13"/>
      <c r="J569" s="22"/>
    </row>
    <row r="570" spans="8:10" ht="12.75">
      <c r="H570" s="13"/>
      <c r="J570" s="22"/>
    </row>
    <row r="571" spans="8:10" ht="12.75">
      <c r="H571" s="13"/>
      <c r="J571" s="22"/>
    </row>
    <row r="572" spans="8:10" ht="12.75">
      <c r="H572" s="13"/>
      <c r="J572" s="22"/>
    </row>
    <row r="573" spans="8:10" ht="12.75">
      <c r="H573" s="13"/>
      <c r="J573" s="22"/>
    </row>
    <row r="574" spans="8:10" ht="12.75">
      <c r="H574" s="13"/>
      <c r="J574" s="22"/>
    </row>
    <row r="575" spans="8:10" ht="12.75">
      <c r="H575" s="13"/>
      <c r="J575" s="22"/>
    </row>
    <row r="576" spans="8:10" ht="12.75">
      <c r="H576" s="13"/>
      <c r="J576" s="22"/>
    </row>
    <row r="577" spans="8:10" ht="12.75">
      <c r="H577" s="13"/>
      <c r="J577" s="22"/>
    </row>
    <row r="578" spans="8:10" ht="12.75">
      <c r="H578" s="13"/>
      <c r="J578" s="22"/>
    </row>
    <row r="579" spans="8:10" ht="12.75">
      <c r="H579" s="13"/>
      <c r="J579" s="22"/>
    </row>
    <row r="580" spans="8:10" ht="12.75">
      <c r="H580" s="13"/>
      <c r="J580" s="22"/>
    </row>
    <row r="581" spans="8:10" ht="12.75">
      <c r="H581" s="13"/>
      <c r="J581" s="22"/>
    </row>
    <row r="582" spans="8:10" ht="12.75">
      <c r="H582" s="13"/>
      <c r="J582" s="22"/>
    </row>
    <row r="583" spans="8:10" ht="12.75">
      <c r="H583" s="13"/>
      <c r="J583" s="22"/>
    </row>
    <row r="584" spans="8:10" ht="12.75">
      <c r="H584" s="13"/>
      <c r="J584" s="22"/>
    </row>
    <row r="585" spans="8:10" ht="12.75">
      <c r="H585" s="13"/>
      <c r="J585" s="22"/>
    </row>
    <row r="586" spans="8:10" ht="12.75">
      <c r="H586" s="13"/>
      <c r="J586" s="22"/>
    </row>
    <row r="587" spans="8:10" ht="12.75">
      <c r="H587" s="13"/>
      <c r="J587" s="22"/>
    </row>
    <row r="588" spans="8:10" ht="12.75">
      <c r="H588" s="13"/>
      <c r="J588" s="22"/>
    </row>
    <row r="589" spans="8:10" ht="12.75">
      <c r="H589" s="13"/>
      <c r="J589" s="22"/>
    </row>
    <row r="590" spans="8:10" ht="12.75">
      <c r="H590" s="13"/>
      <c r="J590" s="22"/>
    </row>
    <row r="591" spans="8:10" ht="12.75">
      <c r="H591" s="13"/>
      <c r="J591" s="22"/>
    </row>
    <row r="592" spans="8:10" ht="12.75">
      <c r="H592" s="13"/>
      <c r="J592" s="22"/>
    </row>
    <row r="593" spans="8:10" ht="12.75">
      <c r="H593" s="13"/>
      <c r="J593" s="22"/>
    </row>
    <row r="594" spans="8:10" ht="12.75">
      <c r="H594" s="13"/>
      <c r="J594" s="22"/>
    </row>
    <row r="595" spans="8:10" ht="12.75">
      <c r="H595" s="13"/>
      <c r="J595" s="22"/>
    </row>
    <row r="596" spans="8:10" ht="12.75">
      <c r="H596" s="13"/>
      <c r="J596" s="22"/>
    </row>
    <row r="597" spans="8:10" ht="12.75">
      <c r="H597" s="13"/>
      <c r="J597" s="22"/>
    </row>
    <row r="598" spans="8:10" ht="12.75">
      <c r="H598" s="13"/>
      <c r="J598" s="22"/>
    </row>
    <row r="599" spans="8:10" ht="12.75">
      <c r="H599" s="13"/>
      <c r="J599" s="22"/>
    </row>
    <row r="600" spans="8:10" ht="12.75">
      <c r="H600" s="13"/>
      <c r="J600" s="22"/>
    </row>
    <row r="601" spans="8:10" ht="12.75">
      <c r="H601" s="13"/>
      <c r="J601" s="22"/>
    </row>
    <row r="602" spans="8:10" ht="12.75">
      <c r="H602" s="13"/>
      <c r="J602" s="22"/>
    </row>
    <row r="603" spans="8:10" ht="12.75">
      <c r="H603" s="13"/>
      <c r="J603" s="22"/>
    </row>
    <row r="604" spans="8:10" ht="12.75">
      <c r="H604" s="13"/>
      <c r="J604" s="22"/>
    </row>
    <row r="605" spans="8:10" ht="12.75">
      <c r="H605" s="13"/>
      <c r="J605" s="22"/>
    </row>
    <row r="606" spans="8:10" ht="12.75">
      <c r="H606" s="13"/>
      <c r="J606" s="22"/>
    </row>
    <row r="607" spans="8:10" ht="12.75">
      <c r="H607" s="13"/>
      <c r="J607" s="22"/>
    </row>
    <row r="608" spans="8:10" ht="12.75">
      <c r="H608" s="13"/>
      <c r="J608" s="22"/>
    </row>
    <row r="609" spans="8:10" ht="12.75">
      <c r="H609" s="13"/>
      <c r="J609" s="22"/>
    </row>
    <row r="610" spans="8:10" ht="12.75">
      <c r="H610" s="13"/>
      <c r="J610" s="22"/>
    </row>
    <row r="611" spans="8:10" ht="12.75">
      <c r="H611" s="13"/>
      <c r="J611" s="22"/>
    </row>
    <row r="612" spans="8:10" ht="12.75">
      <c r="H612" s="13"/>
      <c r="J612" s="22"/>
    </row>
    <row r="613" spans="8:10" ht="12.75">
      <c r="H613" s="13"/>
      <c r="J613" s="22"/>
    </row>
    <row r="614" spans="8:10" ht="12.75">
      <c r="H614" s="13"/>
      <c r="J614" s="22"/>
    </row>
    <row r="615" spans="8:10" ht="12.75">
      <c r="H615" s="13"/>
      <c r="J615" s="22"/>
    </row>
    <row r="616" spans="8:10" ht="12.75">
      <c r="H616" s="13"/>
      <c r="J616" s="22"/>
    </row>
    <row r="617" spans="8:10" ht="12.75">
      <c r="H617" s="13"/>
      <c r="J617" s="22"/>
    </row>
    <row r="618" spans="8:10" ht="12.75">
      <c r="H618" s="13"/>
      <c r="J618" s="22"/>
    </row>
    <row r="619" spans="8:10" ht="12.75">
      <c r="H619" s="13"/>
      <c r="J619" s="22"/>
    </row>
    <row r="620" spans="8:10" ht="12.75">
      <c r="H620" s="13"/>
      <c r="J620" s="22"/>
    </row>
    <row r="621" spans="8:10" ht="12.75">
      <c r="H621" s="13"/>
      <c r="J621" s="22"/>
    </row>
    <row r="622" spans="8:10" ht="12.75">
      <c r="H622" s="13"/>
      <c r="J622" s="22"/>
    </row>
    <row r="623" spans="8:10" ht="12.75">
      <c r="H623" s="13"/>
      <c r="J623" s="22"/>
    </row>
    <row r="624" spans="8:10" ht="12.75">
      <c r="H624" s="13"/>
      <c r="J624" s="22"/>
    </row>
    <row r="625" spans="8:10" ht="12.75">
      <c r="H625" s="13"/>
      <c r="J625" s="22"/>
    </row>
    <row r="626" spans="8:10" ht="12.75">
      <c r="H626" s="13"/>
      <c r="J626" s="22"/>
    </row>
    <row r="627" spans="8:10" ht="12.75">
      <c r="H627" s="13"/>
      <c r="J627" s="22"/>
    </row>
    <row r="628" spans="8:10" ht="12.75">
      <c r="H628" s="13"/>
      <c r="J628" s="22"/>
    </row>
    <row r="629" spans="8:10" ht="12.75">
      <c r="H629" s="13"/>
      <c r="J629" s="22"/>
    </row>
    <row r="630" spans="8:10" ht="12.75">
      <c r="H630" s="13"/>
      <c r="J630" s="22"/>
    </row>
    <row r="631" spans="8:10" ht="12.75">
      <c r="H631" s="13"/>
      <c r="J631" s="22"/>
    </row>
    <row r="632" spans="8:10" ht="12.75">
      <c r="H632" s="13"/>
      <c r="J632" s="22"/>
    </row>
    <row r="633" spans="8:10" ht="12.75">
      <c r="H633" s="13"/>
      <c r="J633" s="22"/>
    </row>
    <row r="634" spans="8:10" ht="12.75">
      <c r="H634" s="13"/>
      <c r="J634" s="22"/>
    </row>
    <row r="635" spans="8:10" ht="12.75">
      <c r="H635" s="13"/>
      <c r="J635" s="22"/>
    </row>
    <row r="636" spans="8:10" ht="12.75">
      <c r="H636" s="13"/>
      <c r="J636" s="22"/>
    </row>
    <row r="637" spans="8:10" ht="12.75">
      <c r="H637" s="13"/>
      <c r="J637" s="22"/>
    </row>
    <row r="638" spans="8:10" ht="12.75">
      <c r="H638" s="13"/>
      <c r="J638" s="22"/>
    </row>
    <row r="639" spans="8:10" ht="12.75">
      <c r="H639" s="13"/>
      <c r="J639" s="22"/>
    </row>
    <row r="640" spans="8:10" ht="12.75">
      <c r="H640" s="13"/>
      <c r="J640" s="22"/>
    </row>
    <row r="641" spans="8:10" ht="12.75">
      <c r="H641" s="13"/>
      <c r="J641" s="22"/>
    </row>
    <row r="642" spans="8:10" ht="12.75">
      <c r="H642" s="13"/>
      <c r="J642" s="22"/>
    </row>
    <row r="643" spans="8:10" ht="12.75">
      <c r="H643" s="13"/>
      <c r="J643" s="22"/>
    </row>
    <row r="644" spans="8:10" ht="12.75">
      <c r="H644" s="13"/>
      <c r="J644" s="22"/>
    </row>
    <row r="645" spans="8:10" ht="12.75">
      <c r="H645" s="13"/>
      <c r="J645" s="22"/>
    </row>
    <row r="646" spans="8:10" ht="12.75">
      <c r="H646" s="13"/>
      <c r="J646" s="22"/>
    </row>
    <row r="647" spans="8:10" ht="12.75">
      <c r="H647" s="13"/>
      <c r="J647" s="22"/>
    </row>
    <row r="648" spans="8:10" ht="12.75">
      <c r="H648" s="13"/>
      <c r="J648" s="22"/>
    </row>
    <row r="649" spans="8:10" ht="12.75">
      <c r="H649" s="13"/>
      <c r="J649" s="22"/>
    </row>
    <row r="650" spans="8:10" ht="12.75">
      <c r="H650" s="13"/>
      <c r="J650" s="22"/>
    </row>
    <row r="651" spans="8:10" ht="12.75">
      <c r="H651" s="13"/>
      <c r="J651" s="22"/>
    </row>
    <row r="652" spans="8:10" ht="12.75">
      <c r="H652" s="13"/>
      <c r="J652" s="22"/>
    </row>
    <row r="653" spans="8:10" ht="12.75">
      <c r="H653" s="13"/>
      <c r="J653" s="22"/>
    </row>
    <row r="654" spans="8:10" ht="12.75">
      <c r="H654" s="13"/>
      <c r="J654" s="22"/>
    </row>
    <row r="655" spans="8:10" ht="12.75">
      <c r="H655" s="13"/>
      <c r="J655" s="22"/>
    </row>
    <row r="656" spans="8:10" ht="12.75">
      <c r="H656" s="13"/>
      <c r="J656" s="22"/>
    </row>
    <row r="657" spans="8:10" ht="12.75">
      <c r="H657" s="13"/>
      <c r="J657" s="22"/>
    </row>
    <row r="658" spans="8:10" ht="12.75">
      <c r="H658" s="13"/>
      <c r="J658" s="22"/>
    </row>
    <row r="659" spans="8:10" ht="12.75">
      <c r="H659" s="13"/>
      <c r="J659" s="22"/>
    </row>
    <row r="660" spans="8:10" ht="12.75">
      <c r="H660" s="13"/>
      <c r="J660" s="22"/>
    </row>
    <row r="661" spans="8:10" ht="12.75">
      <c r="H661" s="13"/>
      <c r="J661" s="22"/>
    </row>
    <row r="662" spans="8:10" ht="12.75">
      <c r="H662" s="13"/>
      <c r="J662" s="22"/>
    </row>
    <row r="663" spans="8:10" ht="12.75">
      <c r="H663" s="13"/>
      <c r="J663" s="22"/>
    </row>
    <row r="664" spans="8:10" ht="12.75">
      <c r="H664" s="13"/>
      <c r="J664" s="22"/>
    </row>
    <row r="665" spans="8:10" ht="12.75">
      <c r="H665" s="13"/>
      <c r="J665" s="22"/>
    </row>
    <row r="666" spans="8:10" ht="12.75">
      <c r="H666" s="13"/>
      <c r="J666" s="22"/>
    </row>
    <row r="667" spans="8:10" ht="12.75">
      <c r="H667" s="13"/>
      <c r="J667" s="22"/>
    </row>
    <row r="668" spans="8:10" ht="12.75">
      <c r="H668" s="13"/>
      <c r="J668" s="22"/>
    </row>
    <row r="669" spans="8:10" ht="12.75">
      <c r="H669" s="13"/>
      <c r="J669" s="22"/>
    </row>
    <row r="670" spans="8:10" ht="12.75">
      <c r="H670" s="13"/>
      <c r="J670" s="22"/>
    </row>
    <row r="671" spans="8:10" ht="12.75">
      <c r="H671" s="13"/>
      <c r="J671" s="22"/>
    </row>
    <row r="672" spans="8:10" ht="12.75">
      <c r="H672" s="13"/>
      <c r="J672" s="22"/>
    </row>
    <row r="673" spans="8:10" ht="12.75">
      <c r="H673" s="13"/>
      <c r="J673" s="22"/>
    </row>
    <row r="674" spans="8:10" ht="12.75">
      <c r="H674" s="13"/>
      <c r="J674" s="22"/>
    </row>
    <row r="675" spans="8:10" ht="12.75">
      <c r="H675" s="13"/>
      <c r="J675" s="22"/>
    </row>
    <row r="676" spans="8:10" ht="12.75">
      <c r="H676" s="13"/>
      <c r="J676" s="22"/>
    </row>
    <row r="677" spans="8:10" ht="12.75">
      <c r="H677" s="13"/>
      <c r="J677" s="22"/>
    </row>
    <row r="678" spans="8:10" ht="12.75">
      <c r="H678" s="13"/>
      <c r="J678" s="22"/>
    </row>
    <row r="679" spans="8:10" ht="12.75">
      <c r="H679" s="13"/>
      <c r="J679" s="22"/>
    </row>
    <row r="680" spans="8:10" ht="12.75">
      <c r="H680" s="13"/>
      <c r="J680" s="22"/>
    </row>
    <row r="681" spans="8:10" ht="12.75">
      <c r="H681" s="13"/>
      <c r="J681" s="22"/>
    </row>
    <row r="682" spans="8:10" ht="12.75">
      <c r="H682" s="13"/>
      <c r="J682" s="22"/>
    </row>
    <row r="683" spans="8:10" ht="12.75">
      <c r="H683" s="13"/>
      <c r="J683" s="22"/>
    </row>
    <row r="684" spans="8:10" ht="12.75">
      <c r="H684" s="13"/>
      <c r="J684" s="22"/>
    </row>
    <row r="685" spans="8:10" ht="12.75">
      <c r="H685" s="13"/>
      <c r="J685" s="22"/>
    </row>
    <row r="686" spans="8:10" ht="12.75">
      <c r="H686" s="13"/>
      <c r="J686" s="22"/>
    </row>
    <row r="687" spans="8:10" ht="12.75">
      <c r="H687" s="13"/>
      <c r="J687" s="22"/>
    </row>
    <row r="688" spans="8:10" ht="12.75">
      <c r="H688" s="13"/>
      <c r="J688" s="22"/>
    </row>
    <row r="689" spans="8:10" ht="12.75">
      <c r="H689" s="13"/>
      <c r="J689" s="22"/>
    </row>
    <row r="690" spans="8:10" ht="12.75">
      <c r="H690" s="13"/>
      <c r="J690" s="22"/>
    </row>
    <row r="691" spans="8:10" ht="12.75">
      <c r="H691" s="13"/>
      <c r="J691" s="22"/>
    </row>
    <row r="692" spans="8:10" ht="12.75">
      <c r="H692" s="13"/>
      <c r="J692" s="22"/>
    </row>
    <row r="693" spans="8:10" ht="12.75">
      <c r="H693" s="13"/>
      <c r="J693" s="22"/>
    </row>
    <row r="694" spans="8:10" ht="12.75">
      <c r="H694" s="13"/>
      <c r="J694" s="22"/>
    </row>
    <row r="695" spans="8:10" ht="12.75">
      <c r="H695" s="13"/>
      <c r="J695" s="22"/>
    </row>
    <row r="696" spans="8:10" ht="12.75">
      <c r="H696" s="13"/>
      <c r="J696" s="22"/>
    </row>
    <row r="697" spans="8:10" ht="12.75">
      <c r="H697" s="13"/>
      <c r="J697" s="22"/>
    </row>
    <row r="698" spans="8:10" ht="12.75">
      <c r="H698" s="13"/>
      <c r="J698" s="22"/>
    </row>
    <row r="699" spans="8:10" ht="12.75">
      <c r="H699" s="13"/>
      <c r="J699" s="22"/>
    </row>
    <row r="700" spans="8:10" ht="12.75">
      <c r="H700" s="13"/>
      <c r="J700" s="22"/>
    </row>
    <row r="701" spans="8:10" ht="12.75">
      <c r="H701" s="13"/>
      <c r="J701" s="22"/>
    </row>
    <row r="702" spans="8:10" ht="12.75">
      <c r="H702" s="13"/>
      <c r="J702" s="22"/>
    </row>
    <row r="703" spans="8:10" ht="12.75">
      <c r="H703" s="13"/>
      <c r="J703" s="22"/>
    </row>
    <row r="704" spans="8:10" ht="12.75">
      <c r="H704" s="13"/>
      <c r="J704" s="22"/>
    </row>
    <row r="705" spans="8:10" ht="12.75">
      <c r="H705" s="13"/>
      <c r="J705" s="22"/>
    </row>
    <row r="706" spans="8:10" ht="12.75">
      <c r="H706" s="13"/>
      <c r="J706" s="22"/>
    </row>
    <row r="707" spans="8:10" ht="12.75">
      <c r="H707" s="13"/>
      <c r="J707" s="22"/>
    </row>
    <row r="708" spans="8:10" ht="12.75">
      <c r="H708" s="13"/>
      <c r="J708" s="22"/>
    </row>
    <row r="709" spans="8:10" ht="12.75">
      <c r="H709" s="13"/>
      <c r="J709" s="22"/>
    </row>
    <row r="710" spans="8:10" ht="12.75">
      <c r="H710" s="13"/>
      <c r="J710" s="22"/>
    </row>
    <row r="711" spans="8:10" ht="12.75">
      <c r="H711" s="13"/>
      <c r="J711" s="22"/>
    </row>
    <row r="712" spans="8:10" ht="12.75">
      <c r="H712" s="13"/>
      <c r="J712" s="22"/>
    </row>
    <row r="713" spans="8:10" ht="12.75">
      <c r="H713" s="13"/>
      <c r="J713" s="22"/>
    </row>
    <row r="714" spans="8:10" ht="12.75">
      <c r="H714" s="13"/>
      <c r="J714" s="22"/>
    </row>
    <row r="715" spans="8:10" ht="12.75">
      <c r="H715" s="13"/>
      <c r="J715" s="22"/>
    </row>
    <row r="716" spans="8:10" ht="12.75">
      <c r="H716" s="13"/>
      <c r="J716" s="22"/>
    </row>
    <row r="717" spans="8:10" ht="12.75">
      <c r="H717" s="13"/>
      <c r="J717" s="22"/>
    </row>
    <row r="718" spans="8:10" ht="12.75">
      <c r="H718" s="13"/>
      <c r="J718" s="22"/>
    </row>
    <row r="719" spans="8:10" ht="12.75">
      <c r="H719" s="13"/>
      <c r="J719" s="22"/>
    </row>
    <row r="720" spans="8:10" ht="12.75">
      <c r="H720" s="13"/>
      <c r="J720" s="22"/>
    </row>
    <row r="721" spans="8:10" ht="12.75">
      <c r="H721" s="13"/>
      <c r="J721" s="22"/>
    </row>
    <row r="722" spans="8:10" ht="12.75">
      <c r="H722" s="13"/>
      <c r="J722" s="22"/>
    </row>
    <row r="723" spans="8:10" ht="12.75">
      <c r="H723" s="13"/>
      <c r="J723" s="22"/>
    </row>
    <row r="724" spans="8:10" ht="12.75">
      <c r="H724" s="13"/>
      <c r="J724" s="22"/>
    </row>
    <row r="725" spans="8:10" ht="12.75">
      <c r="H725" s="13"/>
      <c r="J725" s="22"/>
    </row>
    <row r="726" spans="8:10" ht="12.75">
      <c r="H726" s="13"/>
      <c r="J726" s="22"/>
    </row>
    <row r="727" spans="8:10" ht="12.75">
      <c r="H727" s="13"/>
      <c r="J727" s="22"/>
    </row>
    <row r="728" spans="8:10" ht="12.75">
      <c r="H728" s="13"/>
      <c r="J728" s="22"/>
    </row>
    <row r="729" spans="8:10" ht="12.75">
      <c r="H729" s="13"/>
      <c r="J729" s="22"/>
    </row>
    <row r="730" spans="8:10" ht="12.75">
      <c r="H730" s="13"/>
      <c r="J730" s="22"/>
    </row>
    <row r="731" spans="8:10" ht="12.75">
      <c r="H731" s="13"/>
      <c r="J731" s="22"/>
    </row>
    <row r="732" spans="8:10" ht="12.75">
      <c r="H732" s="13"/>
      <c r="J732" s="22"/>
    </row>
    <row r="733" spans="8:10" ht="12.75">
      <c r="H733" s="13"/>
      <c r="J733" s="22"/>
    </row>
    <row r="734" spans="8:10" ht="12.75">
      <c r="H734" s="13"/>
      <c r="J734" s="22"/>
    </row>
    <row r="735" spans="8:10" ht="12.75">
      <c r="H735" s="13"/>
      <c r="J735" s="22"/>
    </row>
    <row r="736" spans="8:10" ht="12.75">
      <c r="H736" s="13"/>
      <c r="J736" s="22"/>
    </row>
    <row r="737" spans="8:10" ht="12.75">
      <c r="H737" s="13"/>
      <c r="J737" s="22"/>
    </row>
    <row r="738" spans="8:10" ht="12.75">
      <c r="H738" s="13"/>
      <c r="J738" s="22"/>
    </row>
    <row r="739" spans="8:10" ht="12.75">
      <c r="H739" s="13"/>
      <c r="J739" s="22"/>
    </row>
    <row r="740" spans="8:10" ht="12.75">
      <c r="H740" s="13"/>
      <c r="J740" s="22"/>
    </row>
    <row r="741" spans="8:10" ht="12.75">
      <c r="H741" s="13"/>
      <c r="J741" s="22"/>
    </row>
    <row r="742" spans="8:10" ht="12.75">
      <c r="H742" s="13"/>
      <c r="J742" s="22"/>
    </row>
    <row r="743" spans="8:10" ht="12.75">
      <c r="H743" s="13"/>
      <c r="J743" s="22"/>
    </row>
    <row r="744" spans="8:10" ht="12.75">
      <c r="H744" s="13"/>
      <c r="J744" s="22"/>
    </row>
    <row r="745" spans="8:10" ht="12.75">
      <c r="H745" s="13"/>
      <c r="J745" s="22"/>
    </row>
    <row r="746" spans="8:10" ht="12.75">
      <c r="H746" s="13"/>
      <c r="J746" s="22"/>
    </row>
    <row r="747" spans="8:10" ht="12.75">
      <c r="H747" s="13"/>
      <c r="J747" s="22"/>
    </row>
    <row r="748" spans="8:10" ht="12.75">
      <c r="H748" s="13"/>
      <c r="J748" s="22"/>
    </row>
    <row r="749" spans="8:10" ht="12.75">
      <c r="H749" s="13"/>
      <c r="J749" s="22"/>
    </row>
    <row r="750" spans="8:10" ht="12.75">
      <c r="H750" s="13"/>
      <c r="J750" s="22"/>
    </row>
    <row r="751" spans="8:10" ht="12.75">
      <c r="H751" s="13"/>
      <c r="J751" s="22"/>
    </row>
    <row r="752" spans="8:10" ht="12.75">
      <c r="H752" s="13"/>
      <c r="J752" s="22"/>
    </row>
    <row r="753" spans="8:10" ht="12.75">
      <c r="H753" s="13"/>
      <c r="J753" s="22"/>
    </row>
    <row r="754" spans="8:10" ht="12.75">
      <c r="H754" s="13"/>
      <c r="J754" s="22"/>
    </row>
    <row r="755" spans="8:10" ht="12.75">
      <c r="H755" s="13"/>
      <c r="J755" s="22"/>
    </row>
    <row r="756" spans="8:10" ht="12.75">
      <c r="H756" s="13"/>
      <c r="J756" s="22"/>
    </row>
    <row r="757" spans="8:10" ht="12.75">
      <c r="H757" s="13"/>
      <c r="J757" s="22"/>
    </row>
    <row r="758" spans="8:10" ht="12.75">
      <c r="H758" s="13"/>
      <c r="J758" s="22"/>
    </row>
    <row r="759" spans="8:10" ht="12.75">
      <c r="H759" s="13"/>
      <c r="J759" s="22"/>
    </row>
    <row r="760" spans="8:10" ht="12.75">
      <c r="H760" s="13"/>
      <c r="J760" s="22"/>
    </row>
    <row r="761" spans="8:10" ht="12.75">
      <c r="H761" s="13"/>
      <c r="J761" s="22"/>
    </row>
    <row r="762" spans="8:10" ht="12.75">
      <c r="H762" s="13"/>
      <c r="J762" s="22"/>
    </row>
    <row r="763" spans="8:10" ht="12.75">
      <c r="H763" s="13"/>
      <c r="J763" s="22"/>
    </row>
    <row r="764" spans="8:10" ht="12.75">
      <c r="H764" s="13"/>
      <c r="J764" s="22"/>
    </row>
    <row r="765" spans="8:10" ht="12.75">
      <c r="H765" s="13"/>
      <c r="J765" s="22"/>
    </row>
    <row r="766" spans="8:10" ht="12.75">
      <c r="H766" s="13"/>
      <c r="J766" s="22"/>
    </row>
    <row r="767" spans="8:10" ht="12.75">
      <c r="H767" s="13"/>
      <c r="J767" s="22"/>
    </row>
    <row r="768" spans="8:10" ht="12.75">
      <c r="H768" s="13"/>
      <c r="J768" s="22"/>
    </row>
    <row r="769" spans="8:10" ht="12.75">
      <c r="H769" s="13"/>
      <c r="J769" s="22"/>
    </row>
    <row r="770" spans="8:10" ht="12.75">
      <c r="H770" s="13"/>
      <c r="J770" s="22"/>
    </row>
    <row r="771" spans="8:10" ht="12.75">
      <c r="H771" s="13"/>
      <c r="J771" s="22"/>
    </row>
    <row r="772" spans="8:10" ht="12.75">
      <c r="H772" s="13"/>
      <c r="J772" s="22"/>
    </row>
    <row r="773" spans="8:10" ht="12.75">
      <c r="H773" s="13"/>
      <c r="J773" s="22"/>
    </row>
    <row r="774" spans="8:10" ht="12.75">
      <c r="H774" s="13"/>
      <c r="J774" s="22"/>
    </row>
    <row r="775" spans="8:10" ht="12.75">
      <c r="H775" s="13"/>
      <c r="J775" s="22"/>
    </row>
    <row r="776" spans="8:10" ht="12.75">
      <c r="H776" s="13"/>
      <c r="J776" s="22"/>
    </row>
    <row r="777" spans="8:10" ht="12.75">
      <c r="H777" s="13"/>
      <c r="J777" s="22"/>
    </row>
    <row r="778" spans="8:10" ht="12.75">
      <c r="H778" s="13"/>
      <c r="J778" s="22"/>
    </row>
    <row r="779" spans="8:10" ht="12.75">
      <c r="H779" s="13"/>
      <c r="J779" s="22"/>
    </row>
    <row r="780" spans="8:10" ht="12.75">
      <c r="H780" s="13"/>
      <c r="J780" s="22"/>
    </row>
    <row r="781" spans="8:10" ht="12.75">
      <c r="H781" s="13"/>
      <c r="J781" s="22"/>
    </row>
    <row r="782" spans="8:10" ht="12.75">
      <c r="H782" s="13"/>
      <c r="J782" s="22"/>
    </row>
    <row r="783" spans="8:10" ht="12.75">
      <c r="H783" s="13"/>
      <c r="J783" s="22"/>
    </row>
    <row r="784" spans="8:10" ht="12.75">
      <c r="H784" s="13"/>
      <c r="J784" s="22"/>
    </row>
    <row r="785" spans="8:10" ht="12.75">
      <c r="H785" s="13"/>
      <c r="J785" s="22"/>
    </row>
    <row r="786" spans="8:10" ht="12.75">
      <c r="H786" s="13"/>
      <c r="J786" s="22"/>
    </row>
    <row r="787" spans="8:10" ht="12.75">
      <c r="H787" s="13"/>
      <c r="J787" s="22"/>
    </row>
    <row r="788" spans="8:10" ht="12.75">
      <c r="H788" s="13"/>
      <c r="J788" s="22"/>
    </row>
    <row r="789" spans="8:10" ht="12.75">
      <c r="H789" s="13"/>
      <c r="J789" s="22"/>
    </row>
    <row r="790" spans="8:10" ht="12.75">
      <c r="H790" s="13"/>
      <c r="J790" s="22"/>
    </row>
    <row r="791" spans="8:10" ht="12.75">
      <c r="H791" s="13"/>
      <c r="J791" s="22"/>
    </row>
    <row r="792" spans="8:10" ht="12.75">
      <c r="H792" s="13"/>
      <c r="J792" s="22"/>
    </row>
    <row r="793" spans="8:10" ht="12.75">
      <c r="H793" s="13"/>
      <c r="J793" s="22"/>
    </row>
    <row r="794" spans="8:10" ht="12.75">
      <c r="H794" s="13"/>
      <c r="J794" s="22"/>
    </row>
    <row r="795" spans="8:10" ht="12.75">
      <c r="H795" s="13"/>
      <c r="J795" s="22"/>
    </row>
    <row r="796" spans="8:10" ht="12.75">
      <c r="H796" s="13"/>
      <c r="J796" s="22"/>
    </row>
    <row r="797" spans="8:10" ht="12.75">
      <c r="H797" s="13"/>
      <c r="J797" s="22"/>
    </row>
    <row r="798" spans="8:10" ht="12.75">
      <c r="H798" s="13"/>
      <c r="J798" s="22"/>
    </row>
    <row r="799" spans="8:10" ht="12.75">
      <c r="H799" s="13"/>
      <c r="J799" s="22"/>
    </row>
    <row r="800" spans="8:10" ht="12.75">
      <c r="H800" s="13"/>
      <c r="J800" s="22"/>
    </row>
    <row r="801" spans="8:10" ht="12.75">
      <c r="H801" s="13"/>
      <c r="J801" s="22"/>
    </row>
    <row r="802" spans="8:10" ht="12.75">
      <c r="H802" s="13"/>
      <c r="J802" s="22"/>
    </row>
    <row r="803" spans="8:10" ht="12.75">
      <c r="H803" s="13"/>
      <c r="J803" s="22"/>
    </row>
    <row r="804" spans="8:10" ht="12.75">
      <c r="H804" s="13"/>
      <c r="J804" s="22"/>
    </row>
    <row r="805" spans="8:10" ht="12.75">
      <c r="H805" s="13"/>
      <c r="J805" s="22"/>
    </row>
    <row r="806" spans="8:10" ht="12.75">
      <c r="H806" s="13"/>
      <c r="J806" s="22"/>
    </row>
    <row r="807" spans="8:10" ht="12.75">
      <c r="H807" s="13"/>
      <c r="J807" s="22"/>
    </row>
    <row r="808" spans="8:10" ht="12.75">
      <c r="H808" s="13"/>
      <c r="J808" s="22"/>
    </row>
    <row r="809" spans="8:10" ht="12.75">
      <c r="H809" s="13"/>
      <c r="J809" s="22"/>
    </row>
    <row r="810" spans="8:10" ht="12.75">
      <c r="H810" s="13"/>
      <c r="J810" s="22"/>
    </row>
    <row r="811" spans="8:10" ht="12.75">
      <c r="H811" s="13"/>
      <c r="J811" s="22"/>
    </row>
    <row r="812" spans="8:10" ht="12.75">
      <c r="H812" s="13"/>
      <c r="J812" s="22"/>
    </row>
    <row r="813" spans="8:10" ht="12.75">
      <c r="H813" s="13"/>
      <c r="J813" s="22"/>
    </row>
    <row r="814" spans="8:10" ht="12.75">
      <c r="H814" s="13"/>
      <c r="J814" s="22"/>
    </row>
    <row r="815" spans="8:10" ht="12.75">
      <c r="H815" s="13"/>
      <c r="J815" s="22"/>
    </row>
    <row r="816" spans="8:10" ht="12.75">
      <c r="H816" s="13"/>
      <c r="J816" s="22"/>
    </row>
    <row r="817" spans="8:10" ht="12.75">
      <c r="H817" s="13"/>
      <c r="J817" s="22"/>
    </row>
    <row r="818" spans="8:10" ht="12.75">
      <c r="H818" s="13"/>
      <c r="J818" s="22"/>
    </row>
    <row r="819" spans="8:10" ht="12.75">
      <c r="H819" s="13"/>
      <c r="J819" s="22"/>
    </row>
    <row r="820" spans="8:10" ht="12.75">
      <c r="H820" s="13"/>
      <c r="J820" s="22"/>
    </row>
    <row r="821" spans="8:10" ht="12.75">
      <c r="H821" s="13"/>
      <c r="J821" s="22"/>
    </row>
    <row r="822" spans="8:10" ht="12.75">
      <c r="H822" s="13"/>
      <c r="J822" s="22"/>
    </row>
    <row r="823" spans="8:10" ht="12.75">
      <c r="H823" s="13"/>
      <c r="J823" s="22"/>
    </row>
    <row r="824" spans="8:10" ht="12.75">
      <c r="H824" s="13"/>
      <c r="J824" s="22"/>
    </row>
    <row r="825" spans="8:10" ht="12.75">
      <c r="H825" s="13"/>
      <c r="J825" s="22"/>
    </row>
    <row r="826" spans="8:10" ht="12.75">
      <c r="H826" s="13"/>
      <c r="J826" s="22"/>
    </row>
    <row r="827" spans="8:10" ht="12.75">
      <c r="H827" s="13"/>
      <c r="J827" s="22"/>
    </row>
    <row r="828" spans="8:10" ht="12.75">
      <c r="H828" s="13"/>
      <c r="J828" s="22"/>
    </row>
    <row r="829" spans="8:10" ht="12.75">
      <c r="H829" s="13"/>
      <c r="J829" s="22"/>
    </row>
    <row r="830" spans="8:10" ht="12.75">
      <c r="H830" s="13"/>
      <c r="J830" s="22"/>
    </row>
    <row r="831" spans="8:10" ht="12.75">
      <c r="H831" s="13"/>
      <c r="J831" s="22"/>
    </row>
    <row r="832" spans="8:10" ht="12.75">
      <c r="H832" s="13"/>
      <c r="J832" s="22"/>
    </row>
    <row r="833" spans="8:10" ht="12.75">
      <c r="H833" s="13"/>
      <c r="J833" s="22"/>
    </row>
    <row r="834" spans="8:10" ht="12.75">
      <c r="H834" s="13"/>
      <c r="J834" s="22"/>
    </row>
    <row r="835" spans="8:10" ht="12.75">
      <c r="H835" s="13"/>
      <c r="J835" s="22"/>
    </row>
    <row r="836" spans="8:10" ht="12.75">
      <c r="H836" s="13"/>
      <c r="J836" s="22"/>
    </row>
    <row r="837" spans="8:10" ht="12.75">
      <c r="H837" s="13"/>
      <c r="J837" s="22"/>
    </row>
    <row r="838" spans="8:10" ht="12.75">
      <c r="H838" s="13"/>
      <c r="J838" s="22"/>
    </row>
    <row r="839" spans="8:10" ht="12.75">
      <c r="H839" s="13"/>
      <c r="J839" s="22"/>
    </row>
    <row r="840" spans="8:10" ht="12.75">
      <c r="H840" s="13"/>
      <c r="J840" s="22"/>
    </row>
    <row r="841" spans="8:10" ht="12.75">
      <c r="H841" s="13"/>
      <c r="J841" s="22"/>
    </row>
    <row r="842" spans="8:10" ht="12.75">
      <c r="H842" s="13"/>
      <c r="J842" s="22"/>
    </row>
    <row r="843" spans="8:10" ht="12.75">
      <c r="H843" s="13"/>
      <c r="J843" s="22"/>
    </row>
    <row r="844" spans="8:10" ht="12.75">
      <c r="H844" s="13"/>
      <c r="J844" s="22"/>
    </row>
    <row r="845" spans="8:10" ht="12.75">
      <c r="H845" s="13"/>
      <c r="J845" s="22"/>
    </row>
    <row r="846" spans="8:10" ht="12.75">
      <c r="H846" s="13"/>
      <c r="J846" s="22"/>
    </row>
    <row r="847" spans="8:10" ht="12.75">
      <c r="H847" s="13"/>
      <c r="J847" s="22"/>
    </row>
    <row r="848" spans="8:10" ht="12.75">
      <c r="H848" s="13"/>
      <c r="J848" s="22"/>
    </row>
    <row r="849" spans="8:10" ht="12.75">
      <c r="H849" s="13"/>
      <c r="J849" s="22"/>
    </row>
    <row r="850" spans="8:10" ht="12.75">
      <c r="H850" s="13"/>
      <c r="J850" s="22"/>
    </row>
    <row r="851" spans="8:10" ht="12.75">
      <c r="H851" s="13"/>
      <c r="J851" s="22"/>
    </row>
    <row r="852" spans="8:10" ht="12.75">
      <c r="H852" s="13"/>
      <c r="J852" s="22"/>
    </row>
    <row r="853" spans="8:10" ht="12.75">
      <c r="H853" s="13"/>
      <c r="J853" s="22"/>
    </row>
    <row r="854" spans="8:10" ht="12.75">
      <c r="H854" s="13"/>
      <c r="J854" s="22"/>
    </row>
    <row r="855" spans="8:10" ht="12.75">
      <c r="H855" s="13"/>
      <c r="J855" s="22"/>
    </row>
    <row r="856" spans="8:10" ht="12.75">
      <c r="H856" s="13"/>
      <c r="J856" s="22"/>
    </row>
    <row r="857" spans="8:10" ht="12.75">
      <c r="H857" s="13"/>
      <c r="J857" s="22"/>
    </row>
    <row r="858" spans="8:10" ht="12.75">
      <c r="H858" s="13"/>
      <c r="J858" s="22"/>
    </row>
    <row r="859" spans="8:10" ht="12.75">
      <c r="H859" s="13"/>
      <c r="J859" s="22"/>
    </row>
    <row r="860" spans="8:10" ht="12.75">
      <c r="H860" s="13"/>
      <c r="J860" s="22"/>
    </row>
    <row r="861" spans="8:10" ht="12.75">
      <c r="H861" s="13"/>
      <c r="J861" s="22"/>
    </row>
    <row r="862" spans="8:10" ht="12.75">
      <c r="H862" s="13"/>
      <c r="J862" s="22"/>
    </row>
    <row r="863" spans="8:10" ht="12.75">
      <c r="H863" s="13"/>
      <c r="J863" s="22"/>
    </row>
    <row r="864" spans="8:10" ht="12.75">
      <c r="H864" s="13"/>
      <c r="J864" s="22"/>
    </row>
    <row r="865" spans="8:10" ht="12.75">
      <c r="H865" s="13"/>
      <c r="J865" s="22"/>
    </row>
    <row r="866" spans="8:10" ht="12.75">
      <c r="H866" s="13"/>
      <c r="J866" s="22"/>
    </row>
    <row r="867" spans="8:10" ht="12.75">
      <c r="H867" s="13"/>
      <c r="J867" s="22"/>
    </row>
    <row r="868" spans="8:10" ht="12.75">
      <c r="H868" s="13"/>
      <c r="J868" s="22"/>
    </row>
    <row r="869" spans="8:10" ht="12.75">
      <c r="H869" s="13"/>
      <c r="J869" s="22"/>
    </row>
    <row r="870" spans="8:10" ht="12.75">
      <c r="H870" s="13"/>
      <c r="J870" s="22"/>
    </row>
    <row r="871" spans="8:10" ht="12.75">
      <c r="H871" s="13"/>
      <c r="J871" s="22"/>
    </row>
    <row r="872" spans="8:10" ht="12.75">
      <c r="H872" s="13"/>
      <c r="J872" s="22"/>
    </row>
    <row r="873" spans="8:10" ht="12.75">
      <c r="H873" s="13"/>
      <c r="J873" s="22"/>
    </row>
    <row r="874" spans="8:10" ht="12.75">
      <c r="H874" s="13"/>
      <c r="J874" s="22"/>
    </row>
    <row r="875" spans="8:10" ht="12.75">
      <c r="H875" s="13"/>
      <c r="J875" s="22"/>
    </row>
    <row r="876" spans="8:10" ht="12.75">
      <c r="H876" s="13"/>
      <c r="J876" s="22"/>
    </row>
    <row r="877" spans="8:10" ht="12.75">
      <c r="H877" s="13"/>
      <c r="J877" s="22"/>
    </row>
    <row r="878" spans="8:10" ht="12.75">
      <c r="H878" s="13"/>
      <c r="J878" s="22"/>
    </row>
    <row r="879" spans="8:10" ht="12.75">
      <c r="H879" s="13"/>
      <c r="J879" s="22"/>
    </row>
    <row r="880" spans="8:10" ht="12.75">
      <c r="H880" s="13"/>
      <c r="J880" s="22"/>
    </row>
    <row r="881" spans="8:10" ht="12.75">
      <c r="H881" s="13"/>
      <c r="J881" s="22"/>
    </row>
    <row r="882" spans="8:10" ht="12.75">
      <c r="H882" s="13"/>
      <c r="J882" s="22"/>
    </row>
    <row r="883" spans="8:10" ht="12.75">
      <c r="H883" s="13"/>
      <c r="J883" s="22"/>
    </row>
    <row r="884" spans="8:10" ht="12.75">
      <c r="H884" s="13"/>
      <c r="J884" s="22"/>
    </row>
    <row r="885" spans="8:10" ht="12.75">
      <c r="H885" s="13"/>
      <c r="J885" s="22"/>
    </row>
    <row r="886" spans="8:10" ht="12.75">
      <c r="H886" s="13"/>
      <c r="J886" s="22"/>
    </row>
    <row r="887" spans="8:10" ht="12.75">
      <c r="H887" s="13"/>
      <c r="J887" s="22"/>
    </row>
    <row r="888" spans="8:10" ht="12.75">
      <c r="H888" s="13"/>
      <c r="J888" s="22"/>
    </row>
    <row r="889" spans="8:10" ht="12.75">
      <c r="H889" s="13"/>
      <c r="J889" s="22"/>
    </row>
    <row r="890" spans="8:10" ht="12.75">
      <c r="H890" s="13"/>
      <c r="J890" s="22"/>
    </row>
    <row r="891" spans="8:10" ht="12.75">
      <c r="H891" s="13"/>
      <c r="J891" s="22"/>
    </row>
    <row r="892" spans="8:10" ht="12.75">
      <c r="H892" s="13"/>
      <c r="J892" s="22"/>
    </row>
    <row r="893" spans="8:10" ht="12.75">
      <c r="H893" s="13"/>
      <c r="J893" s="22"/>
    </row>
    <row r="894" spans="8:10" ht="12.75">
      <c r="H894" s="13"/>
      <c r="J894" s="22"/>
    </row>
    <row r="895" spans="8:10" ht="12.75">
      <c r="H895" s="13"/>
      <c r="J895" s="22"/>
    </row>
    <row r="896" spans="8:10" ht="12.75">
      <c r="H896" s="13"/>
      <c r="J896" s="22"/>
    </row>
    <row r="897" spans="8:10" ht="12.75">
      <c r="H897" s="13"/>
      <c r="J897" s="22"/>
    </row>
    <row r="898" spans="8:10" ht="12.75">
      <c r="H898" s="13"/>
      <c r="J898" s="22"/>
    </row>
    <row r="899" spans="8:10" ht="12.75">
      <c r="H899" s="13"/>
      <c r="J899" s="22"/>
    </row>
    <row r="900" spans="8:10" ht="12.75">
      <c r="H900" s="13"/>
      <c r="J900" s="22"/>
    </row>
    <row r="901" spans="8:10" ht="12.75">
      <c r="H901" s="13"/>
      <c r="J901" s="22"/>
    </row>
    <row r="902" spans="8:10" ht="12.75">
      <c r="H902" s="13"/>
      <c r="J902" s="22"/>
    </row>
    <row r="903" spans="8:10" ht="12.75">
      <c r="H903" s="13"/>
      <c r="J903" s="22"/>
    </row>
    <row r="904" spans="8:10" ht="12.75">
      <c r="H904" s="13"/>
      <c r="J904" s="22"/>
    </row>
    <row r="905" spans="8:10" ht="12.75">
      <c r="H905" s="13"/>
      <c r="J905" s="22"/>
    </row>
    <row r="906" spans="8:10" ht="12.75">
      <c r="H906" s="13"/>
      <c r="J906" s="22"/>
    </row>
    <row r="907" spans="8:10" ht="12.75">
      <c r="H907" s="13"/>
      <c r="J907" s="22"/>
    </row>
    <row r="908" spans="8:10" ht="12.75">
      <c r="H908" s="13"/>
      <c r="J908" s="22"/>
    </row>
    <row r="909" spans="8:10" ht="12.75">
      <c r="H909" s="13"/>
      <c r="J909" s="22"/>
    </row>
    <row r="910" spans="8:10" ht="12.75">
      <c r="H910" s="13"/>
      <c r="J910" s="22"/>
    </row>
    <row r="911" spans="8:10" ht="12.75">
      <c r="H911" s="13"/>
      <c r="J911" s="22"/>
    </row>
    <row r="912" spans="8:10" ht="12.75">
      <c r="H912" s="13"/>
      <c r="J912" s="22"/>
    </row>
    <row r="913" spans="8:10" ht="12.75">
      <c r="H913" s="13"/>
      <c r="J913" s="22"/>
    </row>
    <row r="914" spans="8:10" ht="12.75">
      <c r="H914" s="13"/>
      <c r="J914" s="22"/>
    </row>
    <row r="915" spans="8:10" ht="12.75">
      <c r="H915" s="13"/>
      <c r="J915" s="22"/>
    </row>
    <row r="916" spans="8:10" ht="12.75">
      <c r="H916" s="13"/>
      <c r="J916" s="22"/>
    </row>
    <row r="917" spans="8:10" ht="12.75">
      <c r="H917" s="13"/>
      <c r="J917" s="22"/>
    </row>
    <row r="918" spans="8:10" ht="12.75">
      <c r="H918" s="13"/>
      <c r="J918" s="22"/>
    </row>
    <row r="919" spans="8:10" ht="12.75">
      <c r="H919" s="13"/>
      <c r="J919" s="22"/>
    </row>
    <row r="920" spans="8:10" ht="12.75">
      <c r="H920" s="13"/>
      <c r="J920" s="22"/>
    </row>
    <row r="921" spans="8:10" ht="12.75">
      <c r="H921" s="13"/>
      <c r="J921" s="22"/>
    </row>
    <row r="922" spans="8:10" ht="12.75">
      <c r="H922" s="13"/>
      <c r="J922" s="22"/>
    </row>
    <row r="923" spans="8:10" ht="12.75">
      <c r="H923" s="13"/>
      <c r="J923" s="22"/>
    </row>
    <row r="924" spans="8:10" ht="12.75">
      <c r="H924" s="13"/>
      <c r="J924" s="22"/>
    </row>
    <row r="925" spans="8:10" ht="12.75">
      <c r="H925" s="13"/>
      <c r="J925" s="22"/>
    </row>
    <row r="926" spans="8:10" ht="12.75">
      <c r="H926" s="13"/>
      <c r="J926" s="22"/>
    </row>
    <row r="927" spans="8:10" ht="12.75">
      <c r="H927" s="13"/>
      <c r="J927" s="22"/>
    </row>
    <row r="928" spans="8:10" ht="12.75">
      <c r="H928" s="13"/>
      <c r="J928" s="22"/>
    </row>
    <row r="929" spans="8:10" ht="12.75">
      <c r="H929" s="13"/>
      <c r="J929" s="22"/>
    </row>
    <row r="930" spans="8:10" ht="12.75">
      <c r="H930" s="13"/>
      <c r="J930" s="22"/>
    </row>
    <row r="931" spans="8:10" ht="12.75">
      <c r="H931" s="13"/>
      <c r="J931" s="22"/>
    </row>
    <row r="932" spans="8:10" ht="12.75">
      <c r="H932" s="13"/>
      <c r="J932" s="22"/>
    </row>
    <row r="933" spans="8:10" ht="12.75">
      <c r="H933" s="13"/>
      <c r="J933" s="22"/>
    </row>
    <row r="934" spans="8:10" ht="12.75">
      <c r="H934" s="13"/>
      <c r="J934" s="22"/>
    </row>
    <row r="935" spans="8:10" ht="12.75">
      <c r="H935" s="13"/>
      <c r="J935" s="22"/>
    </row>
    <row r="936" spans="8:10" ht="12.75">
      <c r="H936" s="13"/>
      <c r="J936" s="22"/>
    </row>
    <row r="937" spans="8:10" ht="12.75">
      <c r="H937" s="13"/>
      <c r="J937" s="22"/>
    </row>
    <row r="938" spans="8:10" ht="12.75">
      <c r="H938" s="13"/>
      <c r="J938" s="22"/>
    </row>
    <row r="939" spans="8:10" ht="12.75">
      <c r="H939" s="13"/>
      <c r="J939" s="22"/>
    </row>
    <row r="940" spans="8:10" ht="12.75">
      <c r="H940" s="13"/>
      <c r="J940" s="22"/>
    </row>
    <row r="941" spans="8:10" ht="12.75">
      <c r="H941" s="13"/>
      <c r="J941" s="22"/>
    </row>
    <row r="942" spans="8:10" ht="12.75">
      <c r="H942" s="13"/>
      <c r="J942" s="22"/>
    </row>
    <row r="943" spans="8:10" ht="12.75">
      <c r="H943" s="13"/>
      <c r="J943" s="22"/>
    </row>
    <row r="944" spans="8:10" ht="12.75">
      <c r="H944" s="13"/>
      <c r="J944" s="22"/>
    </row>
    <row r="945" spans="8:10" ht="12.75">
      <c r="H945" s="13"/>
      <c r="J945" s="22"/>
    </row>
    <row r="946" spans="8:10" ht="12.75">
      <c r="H946" s="13"/>
      <c r="J946" s="22"/>
    </row>
    <row r="947" spans="8:10" ht="12.75">
      <c r="H947" s="13"/>
      <c r="J947" s="22"/>
    </row>
    <row r="948" spans="8:10" ht="12.75">
      <c r="H948" s="13"/>
      <c r="J948" s="22"/>
    </row>
    <row r="949" spans="8:10" ht="12.75">
      <c r="H949" s="13"/>
      <c r="J949" s="22"/>
    </row>
    <row r="950" spans="8:10" ht="12.75">
      <c r="H950" s="13"/>
      <c r="J950" s="22"/>
    </row>
    <row r="951" spans="8:10" ht="12.75">
      <c r="H951" s="13"/>
      <c r="J951" s="22"/>
    </row>
    <row r="952" spans="8:10" ht="12.75">
      <c r="H952" s="13"/>
      <c r="J952" s="22"/>
    </row>
    <row r="953" spans="8:10" ht="12.75">
      <c r="H953" s="13"/>
      <c r="J953" s="22"/>
    </row>
    <row r="954" spans="8:10" ht="12.75">
      <c r="H954" s="13"/>
      <c r="J954" s="22"/>
    </row>
    <row r="955" spans="8:10" ht="12.75">
      <c r="H955" s="13"/>
      <c r="J955" s="22"/>
    </row>
    <row r="956" spans="8:10" ht="12.75">
      <c r="H956" s="13"/>
      <c r="J956" s="22"/>
    </row>
    <row r="957" spans="8:10" ht="12.75">
      <c r="H957" s="13"/>
      <c r="J957" s="22"/>
    </row>
    <row r="958" spans="8:10" ht="12.75">
      <c r="H958" s="13"/>
      <c r="J958" s="22"/>
    </row>
    <row r="959" spans="8:10" ht="12.75">
      <c r="H959" s="13"/>
      <c r="J959" s="22"/>
    </row>
    <row r="960" spans="8:10" ht="12.75">
      <c r="H960" s="13"/>
      <c r="J960" s="22"/>
    </row>
    <row r="961" spans="8:10" ht="12.75">
      <c r="H961" s="13"/>
      <c r="J961" s="22"/>
    </row>
    <row r="962" spans="8:10" ht="12.75">
      <c r="H962" s="13"/>
      <c r="J962" s="22"/>
    </row>
    <row r="963" spans="8:10" ht="12.75">
      <c r="H963" s="13"/>
      <c r="J963" s="22"/>
    </row>
    <row r="964" spans="8:10" ht="12.75">
      <c r="H964" s="13"/>
      <c r="J964" s="22"/>
    </row>
    <row r="965" spans="8:10" ht="12.75">
      <c r="H965" s="13"/>
      <c r="J965" s="22"/>
    </row>
    <row r="966" spans="8:10" ht="12.75">
      <c r="H966" s="13"/>
      <c r="J966" s="22"/>
    </row>
    <row r="967" spans="8:10" ht="12.75">
      <c r="H967" s="13"/>
      <c r="J967" s="22"/>
    </row>
    <row r="968" spans="8:10" ht="12.75">
      <c r="H968" s="13"/>
      <c r="J968" s="22"/>
    </row>
    <row r="969" spans="8:10" ht="12.75">
      <c r="H969" s="13"/>
      <c r="J969" s="22"/>
    </row>
    <row r="970" spans="8:10" ht="12.75">
      <c r="H970" s="13"/>
      <c r="J970" s="22"/>
    </row>
    <row r="971" spans="8:10" ht="12.75">
      <c r="H971" s="13"/>
      <c r="J971" s="22"/>
    </row>
    <row r="972" spans="8:10" ht="12.75">
      <c r="H972" s="13"/>
      <c r="J972" s="22"/>
    </row>
    <row r="973" spans="8:10" ht="12.75">
      <c r="H973" s="13"/>
      <c r="J973" s="22"/>
    </row>
    <row r="974" spans="8:10" ht="12.75">
      <c r="H974" s="13"/>
      <c r="J974" s="22"/>
    </row>
    <row r="975" spans="8:10" ht="12.75">
      <c r="H975" s="13"/>
      <c r="J975" s="22"/>
    </row>
    <row r="976" spans="8:10" ht="12.75">
      <c r="H976" s="13"/>
      <c r="J976" s="22"/>
    </row>
    <row r="977" spans="8:10" ht="12.75">
      <c r="H977" s="13"/>
      <c r="J977" s="22"/>
    </row>
    <row r="978" spans="8:10" ht="12.75">
      <c r="H978" s="13"/>
      <c r="J978" s="22"/>
    </row>
    <row r="979" spans="8:10" ht="12.75">
      <c r="H979" s="13"/>
      <c r="J979" s="22"/>
    </row>
    <row r="980" spans="8:10" ht="12.75">
      <c r="H980" s="13"/>
      <c r="J980" s="22"/>
    </row>
    <row r="981" spans="8:10" ht="12.75">
      <c r="H981" s="13"/>
      <c r="J981" s="22"/>
    </row>
    <row r="982" spans="8:10" ht="12.75">
      <c r="H982" s="13"/>
      <c r="J982" s="22"/>
    </row>
    <row r="983" spans="8:10" ht="12.75">
      <c r="H983" s="13"/>
      <c r="J983" s="22"/>
    </row>
    <row r="984" spans="8:10" ht="12.75">
      <c r="H984" s="13"/>
      <c r="J984" s="22"/>
    </row>
    <row r="985" spans="8:10" ht="12.75">
      <c r="H985" s="13"/>
      <c r="J985" s="22"/>
    </row>
    <row r="986" spans="8:10" ht="12.75">
      <c r="H986" s="13"/>
      <c r="J986" s="22"/>
    </row>
    <row r="987" spans="8:10" ht="12.75">
      <c r="H987" s="13"/>
      <c r="J987" s="22"/>
    </row>
    <row r="988" spans="8:10" ht="12.75">
      <c r="H988" s="13"/>
      <c r="J988" s="22"/>
    </row>
    <row r="989" spans="8:10" ht="12.75">
      <c r="H989" s="13"/>
      <c r="J989" s="22"/>
    </row>
    <row r="990" spans="8:10" ht="12.75">
      <c r="H990" s="13"/>
      <c r="J990" s="22"/>
    </row>
    <row r="991" spans="8:10" ht="12.75">
      <c r="H991" s="13"/>
      <c r="J991" s="22"/>
    </row>
    <row r="992" spans="8:10" ht="12.75">
      <c r="H992" s="13"/>
      <c r="J992" s="22"/>
    </row>
    <row r="993" spans="8:10" ht="12.75">
      <c r="H993" s="13"/>
      <c r="J993" s="22"/>
    </row>
    <row r="994" spans="8:10" ht="12.75">
      <c r="H994" s="13"/>
      <c r="J994" s="22"/>
    </row>
    <row r="995" spans="8:10" ht="12.75">
      <c r="H995" s="13"/>
      <c r="J995" s="22"/>
    </row>
    <row r="996" spans="8:10" ht="12.75">
      <c r="H996" s="13"/>
      <c r="J996" s="22"/>
    </row>
    <row r="997" spans="8:10" ht="12.75">
      <c r="H997" s="13"/>
      <c r="J997" s="22"/>
    </row>
    <row r="998" spans="8:10" ht="12.75">
      <c r="H998" s="13"/>
      <c r="J998" s="22"/>
    </row>
    <row r="999" spans="8:10" ht="12.75">
      <c r="H999" s="13"/>
      <c r="J999" s="22"/>
    </row>
    <row r="1000" spans="8:10" ht="12.75">
      <c r="H1000" s="13"/>
      <c r="J1000" s="22"/>
    </row>
    <row r="1001" spans="8:10" ht="12.75">
      <c r="H1001" s="13"/>
      <c r="J1001" s="22"/>
    </row>
    <row r="1002" spans="8:10" ht="12.75">
      <c r="H1002" s="13"/>
      <c r="J1002" s="22"/>
    </row>
    <row r="1003" spans="8:10" ht="12.75">
      <c r="H1003" s="13"/>
      <c r="J1003" s="22"/>
    </row>
    <row r="1004" spans="8:10" ht="12.75">
      <c r="H1004" s="13"/>
      <c r="J1004" s="22"/>
    </row>
    <row r="1005" spans="8:10" ht="12.75">
      <c r="H1005" s="13"/>
      <c r="J1005" s="22"/>
    </row>
    <row r="1006" spans="8:10" ht="12.75">
      <c r="H1006" s="13"/>
      <c r="J1006" s="22"/>
    </row>
  </sheetData>
  <mergeCells count="4">
    <mergeCell ref="A1:O1"/>
    <mergeCell ref="Q1:R1"/>
    <mergeCell ref="S1:T1"/>
    <mergeCell ref="V1:W1"/>
  </mergeCells>
  <conditionalFormatting sqref="A1:A1006">
    <cfRule type="containsText" dxfId="44" priority="6" operator="containsText" text="2024">
      <formula>NOT(ISERROR(SEARCH(("2024"),(A1))))</formula>
    </cfRule>
    <cfRule type="containsText" dxfId="43" priority="7" operator="containsText" text="2025">
      <formula>NOT(ISERROR(SEARCH(("2025"),(A1))))</formula>
    </cfRule>
    <cfRule type="containsText" dxfId="42" priority="8" operator="containsText" text="2026">
      <formula>NOT(ISERROR(SEARCH(("2026"),(A1))))</formula>
    </cfRule>
  </conditionalFormatting>
  <conditionalFormatting sqref="Q3:Q40">
    <cfRule type="containsText" dxfId="41" priority="3" operator="containsText" text="SIM">
      <formula>NOT(ISERROR(SEARCH(("SIM"),(Q3))))</formula>
    </cfRule>
    <cfRule type="containsText" dxfId="40" priority="4" operator="containsText" text="NÃO">
      <formula>NOT(ISERROR(SEARCH(("NÃO"),(Q3))))</formula>
    </cfRule>
  </conditionalFormatting>
  <conditionalFormatting sqref="S3:T40">
    <cfRule type="containsText" dxfId="39" priority="1" operator="containsText" text="SIM">
      <formula>NOT(ISERROR(SEARCH(("SIM"),(S3))))</formula>
    </cfRule>
    <cfRule type="containsText" dxfId="38" priority="2" operator="containsText" text="NÃO">
      <formula>NOT(ISERROR(SEARCH(("NÃO"),(S3))))</formula>
    </cfRule>
  </conditionalFormatting>
  <conditionalFormatting sqref="S40:T40">
    <cfRule type="containsText" dxfId="37" priority="5" operator="containsText" text="false">
      <formula>NOT(ISERROR(SEARCH(("false"),(S40))))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  <pageSetUpPr fitToPage="1"/>
  </sheetPr>
  <dimension ref="A1:Z1000"/>
  <sheetViews>
    <sheetView showGridLines="0" workbookViewId="0"/>
  </sheetViews>
  <sheetFormatPr defaultColWidth="11.25" defaultRowHeight="15.75" customHeight="1"/>
  <cols>
    <col min="1" max="1" width="9.875" customWidth="1"/>
    <col min="2" max="2" width="71.75" customWidth="1"/>
    <col min="3" max="3" width="21.375" customWidth="1"/>
    <col min="4" max="4" width="16.75" customWidth="1"/>
    <col min="5" max="5" width="27.875" customWidth="1"/>
    <col min="6" max="6" width="18.375" customWidth="1"/>
    <col min="7" max="7" width="25.5" customWidth="1"/>
    <col min="8" max="8" width="14.5" customWidth="1"/>
    <col min="9" max="9" width="8.625" customWidth="1"/>
    <col min="10" max="10" width="71.75" customWidth="1"/>
    <col min="11" max="11" width="23.5" customWidth="1"/>
    <col min="12" max="12" width="87" customWidth="1"/>
    <col min="13" max="13" width="11.25" hidden="1"/>
    <col min="16" max="16" width="71.75" customWidth="1"/>
    <col min="17" max="17" width="21.375" customWidth="1"/>
    <col min="18" max="19" width="22.25" customWidth="1"/>
    <col min="22" max="22" width="6.875" customWidth="1"/>
    <col min="23" max="23" width="17.75" customWidth="1"/>
    <col min="24" max="24" width="23.5" customWidth="1"/>
    <col min="25" max="25" width="69.5" customWidth="1"/>
    <col min="26" max="26" width="11.25" hidden="1"/>
  </cols>
  <sheetData>
    <row r="1" spans="1:25">
      <c r="A1" s="55"/>
      <c r="B1" s="67"/>
      <c r="C1" s="67"/>
      <c r="D1" s="56" t="s">
        <v>511</v>
      </c>
      <c r="E1" s="67"/>
      <c r="F1" s="67"/>
      <c r="G1" s="57"/>
      <c r="H1" s="11"/>
      <c r="I1" s="56" t="s">
        <v>5</v>
      </c>
      <c r="J1" s="56" t="s">
        <v>6</v>
      </c>
      <c r="K1" s="56" t="s">
        <v>9</v>
      </c>
      <c r="L1" s="70" t="s">
        <v>26</v>
      </c>
      <c r="O1" s="55"/>
      <c r="P1" s="67"/>
      <c r="Q1" s="67"/>
      <c r="R1" s="56" t="s">
        <v>511</v>
      </c>
      <c r="S1" s="57"/>
      <c r="V1" s="56" t="s">
        <v>5</v>
      </c>
      <c r="W1" s="56" t="s">
        <v>15</v>
      </c>
      <c r="X1" s="56" t="s">
        <v>9</v>
      </c>
      <c r="Y1" s="70" t="s">
        <v>6</v>
      </c>
    </row>
    <row r="2" spans="1:25">
      <c r="A2" s="56" t="s">
        <v>5</v>
      </c>
      <c r="B2" s="56" t="s">
        <v>6</v>
      </c>
      <c r="C2" s="56" t="s">
        <v>9</v>
      </c>
      <c r="D2" s="55" t="s">
        <v>20</v>
      </c>
      <c r="E2" s="73" t="s">
        <v>19</v>
      </c>
      <c r="F2" s="73" t="s">
        <v>21</v>
      </c>
      <c r="G2" s="58" t="s">
        <v>23</v>
      </c>
      <c r="I2" s="55">
        <v>2025</v>
      </c>
      <c r="J2" s="55" t="s">
        <v>195</v>
      </c>
      <c r="K2" s="55" t="s">
        <v>198</v>
      </c>
      <c r="L2" s="71" t="s">
        <v>513</v>
      </c>
      <c r="O2" s="56" t="s">
        <v>5</v>
      </c>
      <c r="P2" s="56" t="s">
        <v>6</v>
      </c>
      <c r="Q2" s="56" t="s">
        <v>9</v>
      </c>
      <c r="R2" s="55" t="s">
        <v>17</v>
      </c>
      <c r="S2" s="58" t="s">
        <v>152</v>
      </c>
      <c r="V2" s="55">
        <v>2025</v>
      </c>
      <c r="W2" s="55">
        <v>5400020250017</v>
      </c>
      <c r="X2" s="55" t="s">
        <v>225</v>
      </c>
      <c r="Y2" s="71" t="s">
        <v>226</v>
      </c>
    </row>
    <row r="3" spans="1:25">
      <c r="A3" s="55">
        <v>2025</v>
      </c>
      <c r="B3" s="55" t="s">
        <v>195</v>
      </c>
      <c r="C3" s="55" t="s">
        <v>198</v>
      </c>
      <c r="D3" s="59">
        <v>450500</v>
      </c>
      <c r="E3" s="74">
        <v>450000</v>
      </c>
      <c r="F3" s="74">
        <v>450000</v>
      </c>
      <c r="G3" s="60"/>
      <c r="I3" s="68"/>
      <c r="J3" s="55" t="s">
        <v>187</v>
      </c>
      <c r="K3" s="55" t="s">
        <v>190</v>
      </c>
      <c r="L3" s="71" t="s">
        <v>513</v>
      </c>
      <c r="O3" s="55">
        <v>2024</v>
      </c>
      <c r="P3" s="55" t="s">
        <v>67</v>
      </c>
      <c r="Q3" s="55" t="s">
        <v>70</v>
      </c>
      <c r="R3" s="59">
        <v>45657</v>
      </c>
      <c r="S3" s="60">
        <v>46386</v>
      </c>
      <c r="V3" s="68"/>
      <c r="W3" s="68"/>
      <c r="X3" s="55" t="s">
        <v>143</v>
      </c>
      <c r="Y3" s="71" t="s">
        <v>140</v>
      </c>
    </row>
    <row r="4" spans="1:25">
      <c r="A4" s="68"/>
      <c r="B4" s="55" t="s">
        <v>187</v>
      </c>
      <c r="C4" s="55" t="s">
        <v>190</v>
      </c>
      <c r="D4" s="59">
        <v>500500.5</v>
      </c>
      <c r="E4" s="74">
        <v>500000</v>
      </c>
      <c r="F4" s="74">
        <v>500000</v>
      </c>
      <c r="G4" s="60"/>
      <c r="I4" s="68"/>
      <c r="J4" s="55" t="s">
        <v>237</v>
      </c>
      <c r="K4" s="55" t="s">
        <v>239</v>
      </c>
      <c r="L4" s="71" t="s">
        <v>513</v>
      </c>
      <c r="O4" s="68"/>
      <c r="P4" s="55" t="s">
        <v>30</v>
      </c>
      <c r="Q4" s="55" t="s">
        <v>33</v>
      </c>
      <c r="R4" s="59">
        <v>45639</v>
      </c>
      <c r="S4" s="60">
        <v>46551</v>
      </c>
      <c r="V4" s="68"/>
      <c r="W4" s="68"/>
      <c r="X4" s="55" t="s">
        <v>243</v>
      </c>
      <c r="Y4" s="71" t="s">
        <v>245</v>
      </c>
    </row>
    <row r="5" spans="1:25">
      <c r="A5" s="68"/>
      <c r="B5" s="55" t="s">
        <v>237</v>
      </c>
      <c r="C5" s="55" t="s">
        <v>239</v>
      </c>
      <c r="D5" s="59">
        <v>10030000</v>
      </c>
      <c r="E5" s="74">
        <v>10000000</v>
      </c>
      <c r="F5" s="74">
        <v>10000000</v>
      </c>
      <c r="G5" s="60"/>
      <c r="I5" s="68"/>
      <c r="J5" s="55" t="s">
        <v>226</v>
      </c>
      <c r="K5" s="55" t="s">
        <v>225</v>
      </c>
      <c r="L5" s="71" t="s">
        <v>513</v>
      </c>
      <c r="O5" s="68"/>
      <c r="P5" s="55" t="s">
        <v>57</v>
      </c>
      <c r="Q5" s="55" t="s">
        <v>60</v>
      </c>
      <c r="R5" s="59">
        <v>45644</v>
      </c>
      <c r="S5" s="60">
        <v>46739</v>
      </c>
      <c r="V5" s="68"/>
      <c r="W5" s="68"/>
      <c r="X5" s="55" t="s">
        <v>252</v>
      </c>
      <c r="Y5" s="71" t="s">
        <v>254</v>
      </c>
    </row>
    <row r="6" spans="1:25">
      <c r="A6" s="68"/>
      <c r="B6" s="55" t="s">
        <v>226</v>
      </c>
      <c r="C6" s="55" t="s">
        <v>225</v>
      </c>
      <c r="D6" s="59">
        <v>451000</v>
      </c>
      <c r="E6" s="74">
        <v>450000</v>
      </c>
      <c r="F6" s="74">
        <v>450000</v>
      </c>
      <c r="G6" s="60"/>
      <c r="I6" s="68"/>
      <c r="J6" s="55" t="s">
        <v>158</v>
      </c>
      <c r="K6" s="55" t="s">
        <v>160</v>
      </c>
      <c r="L6" s="71" t="s">
        <v>166</v>
      </c>
      <c r="O6" s="68"/>
      <c r="P6" s="55" t="s">
        <v>49</v>
      </c>
      <c r="Q6" s="55" t="s">
        <v>50</v>
      </c>
      <c r="R6" s="59">
        <v>45649</v>
      </c>
      <c r="S6" s="60">
        <v>46387</v>
      </c>
      <c r="V6" s="68"/>
      <c r="W6" s="68"/>
      <c r="X6" s="55" t="s">
        <v>173</v>
      </c>
      <c r="Y6" s="71" t="s">
        <v>169</v>
      </c>
    </row>
    <row r="7" spans="1:25">
      <c r="A7" s="68"/>
      <c r="B7" s="55" t="s">
        <v>158</v>
      </c>
      <c r="C7" s="55" t="s">
        <v>160</v>
      </c>
      <c r="D7" s="59">
        <v>1301400</v>
      </c>
      <c r="E7" s="74">
        <v>1300000</v>
      </c>
      <c r="F7" s="74">
        <v>1300000</v>
      </c>
      <c r="G7" s="60"/>
      <c r="I7" s="68"/>
      <c r="J7" s="55" t="s">
        <v>217</v>
      </c>
      <c r="K7" s="55" t="s">
        <v>220</v>
      </c>
      <c r="L7" s="71" t="s">
        <v>513</v>
      </c>
      <c r="O7" s="55">
        <v>2025</v>
      </c>
      <c r="P7" s="55" t="s">
        <v>195</v>
      </c>
      <c r="Q7" s="55" t="s">
        <v>198</v>
      </c>
      <c r="R7" s="59">
        <v>46007</v>
      </c>
      <c r="S7" s="60">
        <v>46504</v>
      </c>
      <c r="V7" s="68"/>
      <c r="W7" s="68"/>
      <c r="X7" s="55" t="s">
        <v>198</v>
      </c>
      <c r="Y7" s="71" t="s">
        <v>195</v>
      </c>
    </row>
    <row r="8" spans="1:25">
      <c r="A8" s="68"/>
      <c r="B8" s="55" t="s">
        <v>217</v>
      </c>
      <c r="C8" s="55" t="s">
        <v>220</v>
      </c>
      <c r="D8" s="59">
        <v>452000</v>
      </c>
      <c r="E8" s="74">
        <v>450000</v>
      </c>
      <c r="F8" s="74">
        <v>450000</v>
      </c>
      <c r="G8" s="60"/>
      <c r="I8" s="68"/>
      <c r="J8" s="55" t="s">
        <v>264</v>
      </c>
      <c r="K8" s="55" t="s">
        <v>265</v>
      </c>
      <c r="L8" s="71" t="s">
        <v>266</v>
      </c>
      <c r="O8" s="68"/>
      <c r="P8" s="55" t="s">
        <v>187</v>
      </c>
      <c r="Q8" s="55" t="s">
        <v>190</v>
      </c>
      <c r="R8" s="59">
        <v>46021</v>
      </c>
      <c r="S8" s="60">
        <v>46752</v>
      </c>
      <c r="V8" s="68"/>
      <c r="W8" s="68"/>
      <c r="X8" s="55" t="s">
        <v>269</v>
      </c>
      <c r="Y8" s="71" t="s">
        <v>270</v>
      </c>
    </row>
    <row r="9" spans="1:25">
      <c r="A9" s="68"/>
      <c r="B9" s="55" t="s">
        <v>264</v>
      </c>
      <c r="C9" s="55" t="s">
        <v>265</v>
      </c>
      <c r="D9" s="59">
        <v>1734000</v>
      </c>
      <c r="E9" s="74">
        <v>1700000</v>
      </c>
      <c r="F9" s="74">
        <v>1700000</v>
      </c>
      <c r="G9" s="60"/>
      <c r="I9" s="68"/>
      <c r="J9" s="55" t="s">
        <v>272</v>
      </c>
      <c r="K9" s="55" t="s">
        <v>273</v>
      </c>
      <c r="L9" s="71" t="s">
        <v>513</v>
      </c>
      <c r="O9" s="68"/>
      <c r="P9" s="55" t="s">
        <v>237</v>
      </c>
      <c r="Q9" s="55" t="s">
        <v>239</v>
      </c>
      <c r="R9" s="59">
        <v>46015</v>
      </c>
      <c r="S9" s="60">
        <v>46745</v>
      </c>
      <c r="V9" s="68"/>
      <c r="W9" s="68"/>
      <c r="X9" s="55" t="s">
        <v>103</v>
      </c>
      <c r="Y9" s="71" t="s">
        <v>99</v>
      </c>
    </row>
    <row r="10" spans="1:25">
      <c r="A10" s="68"/>
      <c r="B10" s="55" t="s">
        <v>272</v>
      </c>
      <c r="C10" s="55" t="s">
        <v>273</v>
      </c>
      <c r="D10" s="59">
        <v>379820</v>
      </c>
      <c r="E10" s="74">
        <v>370000</v>
      </c>
      <c r="F10" s="74">
        <v>370000</v>
      </c>
      <c r="G10" s="60"/>
      <c r="I10" s="68"/>
      <c r="J10" s="55" t="s">
        <v>201</v>
      </c>
      <c r="K10" s="55" t="s">
        <v>205</v>
      </c>
      <c r="L10" s="71" t="s">
        <v>513</v>
      </c>
      <c r="O10" s="68"/>
      <c r="P10" s="55" t="s">
        <v>226</v>
      </c>
      <c r="Q10" s="55" t="s">
        <v>225</v>
      </c>
      <c r="R10" s="59">
        <v>46007</v>
      </c>
      <c r="S10" s="60">
        <v>46737</v>
      </c>
      <c r="V10" s="68"/>
      <c r="W10" s="68"/>
      <c r="X10" s="55" t="s">
        <v>239</v>
      </c>
      <c r="Y10" s="71" t="s">
        <v>237</v>
      </c>
    </row>
    <row r="11" spans="1:25">
      <c r="A11" s="68"/>
      <c r="B11" s="55" t="s">
        <v>201</v>
      </c>
      <c r="C11" s="55" t="s">
        <v>205</v>
      </c>
      <c r="D11" s="59">
        <v>1260750</v>
      </c>
      <c r="E11" s="74">
        <v>1259150</v>
      </c>
      <c r="F11" s="74">
        <v>1450000</v>
      </c>
      <c r="G11" s="60"/>
      <c r="I11" s="68"/>
      <c r="J11" s="55" t="s">
        <v>113</v>
      </c>
      <c r="K11" s="55" t="s">
        <v>114</v>
      </c>
      <c r="L11" s="71" t="s">
        <v>513</v>
      </c>
      <c r="O11" s="68"/>
      <c r="P11" s="55" t="s">
        <v>158</v>
      </c>
      <c r="Q11" s="55" t="s">
        <v>160</v>
      </c>
      <c r="R11" s="59">
        <v>46008</v>
      </c>
      <c r="S11" s="60">
        <v>46738</v>
      </c>
      <c r="V11" s="68"/>
      <c r="W11" s="68"/>
      <c r="X11" s="55" t="s">
        <v>160</v>
      </c>
      <c r="Y11" s="71" t="s">
        <v>158</v>
      </c>
    </row>
    <row r="12" spans="1:25">
      <c r="A12" s="68"/>
      <c r="B12" s="55" t="s">
        <v>113</v>
      </c>
      <c r="C12" s="55" t="s">
        <v>114</v>
      </c>
      <c r="D12" s="59">
        <v>3000000</v>
      </c>
      <c r="E12" s="74">
        <v>2994000</v>
      </c>
      <c r="F12" s="74">
        <v>2994000</v>
      </c>
      <c r="G12" s="60"/>
      <c r="I12" s="68"/>
      <c r="J12" s="55" t="s">
        <v>248</v>
      </c>
      <c r="K12" s="55" t="s">
        <v>250</v>
      </c>
      <c r="L12" s="71" t="s">
        <v>166</v>
      </c>
      <c r="O12" s="68"/>
      <c r="P12" s="55" t="s">
        <v>217</v>
      </c>
      <c r="Q12" s="55" t="s">
        <v>220</v>
      </c>
      <c r="R12" s="59">
        <v>46021</v>
      </c>
      <c r="S12" s="60">
        <v>46741</v>
      </c>
      <c r="V12" s="68"/>
      <c r="W12" s="68"/>
      <c r="X12" s="55" t="s">
        <v>233</v>
      </c>
      <c r="Y12" s="71" t="s">
        <v>231</v>
      </c>
    </row>
    <row r="13" spans="1:25">
      <c r="A13" s="68"/>
      <c r="B13" s="55" t="s">
        <v>248</v>
      </c>
      <c r="C13" s="55" t="s">
        <v>250</v>
      </c>
      <c r="D13" s="59">
        <v>808000</v>
      </c>
      <c r="E13" s="74">
        <v>800000</v>
      </c>
      <c r="F13" s="74">
        <v>800000</v>
      </c>
      <c r="G13" s="60"/>
      <c r="I13" s="68"/>
      <c r="J13" s="55" t="s">
        <v>99</v>
      </c>
      <c r="K13" s="55" t="s">
        <v>103</v>
      </c>
      <c r="L13" s="71" t="s">
        <v>110</v>
      </c>
      <c r="O13" s="68"/>
      <c r="P13" s="55" t="s">
        <v>264</v>
      </c>
      <c r="Q13" s="55" t="s">
        <v>265</v>
      </c>
      <c r="R13" s="59">
        <v>46015</v>
      </c>
      <c r="S13" s="60">
        <v>47026</v>
      </c>
      <c r="V13" s="68"/>
      <c r="W13" s="68"/>
      <c r="X13" s="55" t="s">
        <v>273</v>
      </c>
      <c r="Y13" s="71" t="s">
        <v>272</v>
      </c>
    </row>
    <row r="14" spans="1:25">
      <c r="A14" s="68"/>
      <c r="B14" s="55" t="s">
        <v>99</v>
      </c>
      <c r="C14" s="55" t="s">
        <v>103</v>
      </c>
      <c r="D14" s="59">
        <v>455377.26</v>
      </c>
      <c r="E14" s="74">
        <v>450000</v>
      </c>
      <c r="F14" s="74">
        <v>450000</v>
      </c>
      <c r="G14" s="60"/>
      <c r="I14" s="68"/>
      <c r="J14" s="55" t="s">
        <v>271</v>
      </c>
      <c r="K14" s="55" t="s">
        <v>276</v>
      </c>
      <c r="L14" s="71" t="s">
        <v>513</v>
      </c>
      <c r="O14" s="68"/>
      <c r="P14" s="55" t="s">
        <v>272</v>
      </c>
      <c r="Q14" s="55" t="s">
        <v>273</v>
      </c>
      <c r="R14" s="59">
        <v>46007</v>
      </c>
      <c r="S14" s="60">
        <v>47015</v>
      </c>
      <c r="V14" s="68"/>
      <c r="W14" s="68"/>
      <c r="X14" s="55" t="s">
        <v>82</v>
      </c>
      <c r="Y14" s="71" t="s">
        <v>79</v>
      </c>
    </row>
    <row r="15" spans="1:25">
      <c r="A15" s="68"/>
      <c r="B15" s="55" t="s">
        <v>271</v>
      </c>
      <c r="C15" s="55" t="s">
        <v>276</v>
      </c>
      <c r="D15" s="59">
        <v>1612903.23</v>
      </c>
      <c r="E15" s="74">
        <v>1500000</v>
      </c>
      <c r="F15" s="74">
        <v>1500000</v>
      </c>
      <c r="G15" s="60"/>
      <c r="I15" s="68"/>
      <c r="J15" s="68"/>
      <c r="K15" s="55" t="s">
        <v>288</v>
      </c>
      <c r="L15" s="71" t="s">
        <v>295</v>
      </c>
      <c r="O15" s="68"/>
      <c r="P15" s="55" t="s">
        <v>201</v>
      </c>
      <c r="Q15" s="55" t="s">
        <v>205</v>
      </c>
      <c r="R15" s="59">
        <v>46014</v>
      </c>
      <c r="S15" s="60">
        <v>46744</v>
      </c>
      <c r="V15" s="68"/>
      <c r="W15" s="68"/>
      <c r="X15" s="55" t="s">
        <v>276</v>
      </c>
      <c r="Y15" s="71" t="s">
        <v>271</v>
      </c>
    </row>
    <row r="16" spans="1:25">
      <c r="A16" s="68"/>
      <c r="B16" s="68"/>
      <c r="C16" s="61" t="s">
        <v>288</v>
      </c>
      <c r="D16" s="62">
        <v>451681.86</v>
      </c>
      <c r="E16" s="77">
        <v>450000</v>
      </c>
      <c r="F16" s="77">
        <v>450000</v>
      </c>
      <c r="G16" s="63"/>
      <c r="I16" s="68"/>
      <c r="J16" s="55" t="s">
        <v>231</v>
      </c>
      <c r="K16" s="55" t="s">
        <v>233</v>
      </c>
      <c r="L16" s="71" t="s">
        <v>513</v>
      </c>
      <c r="O16" s="68"/>
      <c r="P16" s="55" t="s">
        <v>113</v>
      </c>
      <c r="Q16" s="55" t="s">
        <v>114</v>
      </c>
      <c r="R16" s="59">
        <v>46014</v>
      </c>
      <c r="S16" s="60">
        <v>46744</v>
      </c>
      <c r="V16" s="68"/>
      <c r="W16" s="68"/>
      <c r="X16" s="55" t="s">
        <v>250</v>
      </c>
      <c r="Y16" s="71" t="s">
        <v>248</v>
      </c>
    </row>
    <row r="17" spans="1:25">
      <c r="A17" s="68"/>
      <c r="B17" s="55" t="s">
        <v>231</v>
      </c>
      <c r="C17" s="55" t="s">
        <v>233</v>
      </c>
      <c r="D17" s="59">
        <v>401000</v>
      </c>
      <c r="E17" s="74">
        <v>400000</v>
      </c>
      <c r="F17" s="74">
        <v>400000</v>
      </c>
      <c r="G17" s="60"/>
      <c r="I17" s="68"/>
      <c r="J17" s="55" t="s">
        <v>140</v>
      </c>
      <c r="K17" s="55" t="s">
        <v>143</v>
      </c>
      <c r="L17" s="71" t="s">
        <v>513</v>
      </c>
      <c r="O17" s="68"/>
      <c r="P17" s="55" t="s">
        <v>248</v>
      </c>
      <c r="Q17" s="55" t="s">
        <v>250</v>
      </c>
      <c r="R17" s="59">
        <v>46020</v>
      </c>
      <c r="S17" s="60">
        <v>46507</v>
      </c>
      <c r="V17" s="68"/>
      <c r="W17" s="68"/>
      <c r="X17" s="55" t="s">
        <v>265</v>
      </c>
      <c r="Y17" s="71" t="s">
        <v>264</v>
      </c>
    </row>
    <row r="18" spans="1:25">
      <c r="A18" s="68"/>
      <c r="B18" s="55" t="s">
        <v>140</v>
      </c>
      <c r="C18" s="55" t="s">
        <v>143</v>
      </c>
      <c r="D18" s="59">
        <v>707000</v>
      </c>
      <c r="E18" s="74">
        <v>700000</v>
      </c>
      <c r="F18" s="74">
        <v>700000</v>
      </c>
      <c r="G18" s="60"/>
      <c r="I18" s="68"/>
      <c r="J18" s="55" t="s">
        <v>79</v>
      </c>
      <c r="K18" s="55" t="s">
        <v>82</v>
      </c>
      <c r="L18" s="71" t="s">
        <v>93</v>
      </c>
      <c r="O18" s="68"/>
      <c r="P18" s="55" t="s">
        <v>99</v>
      </c>
      <c r="Q18" s="55" t="s">
        <v>103</v>
      </c>
      <c r="R18" s="59">
        <v>46010</v>
      </c>
      <c r="S18" s="60">
        <v>46740</v>
      </c>
      <c r="V18" s="68"/>
      <c r="W18" s="68"/>
      <c r="X18" s="55" t="s">
        <v>220</v>
      </c>
      <c r="Y18" s="71" t="s">
        <v>217</v>
      </c>
    </row>
    <row r="19" spans="1:25">
      <c r="A19" s="68"/>
      <c r="B19" s="55" t="s">
        <v>79</v>
      </c>
      <c r="C19" s="55" t="s">
        <v>82</v>
      </c>
      <c r="D19" s="59">
        <v>455000</v>
      </c>
      <c r="E19" s="74">
        <v>450000</v>
      </c>
      <c r="F19" s="74">
        <v>450000</v>
      </c>
      <c r="G19" s="60"/>
      <c r="I19" s="68"/>
      <c r="J19" s="55" t="s">
        <v>127</v>
      </c>
      <c r="K19" s="55" t="s">
        <v>131</v>
      </c>
      <c r="L19" s="71" t="s">
        <v>513</v>
      </c>
      <c r="O19" s="68"/>
      <c r="P19" s="55" t="s">
        <v>271</v>
      </c>
      <c r="Q19" s="55" t="s">
        <v>276</v>
      </c>
      <c r="R19" s="59">
        <v>46020</v>
      </c>
      <c r="S19" s="60">
        <v>46510</v>
      </c>
      <c r="V19" s="68"/>
      <c r="W19" s="68"/>
      <c r="X19" s="55" t="s">
        <v>311</v>
      </c>
      <c r="Y19" s="71" t="s">
        <v>67</v>
      </c>
    </row>
    <row r="20" spans="1:25">
      <c r="A20" s="68"/>
      <c r="B20" s="55" t="s">
        <v>127</v>
      </c>
      <c r="C20" s="55" t="s">
        <v>131</v>
      </c>
      <c r="D20" s="59">
        <v>1000000</v>
      </c>
      <c r="E20" s="74">
        <v>990000</v>
      </c>
      <c r="F20" s="74">
        <v>1000000</v>
      </c>
      <c r="G20" s="60"/>
      <c r="I20" s="68"/>
      <c r="J20" s="55" t="s">
        <v>270</v>
      </c>
      <c r="K20" s="55" t="s">
        <v>269</v>
      </c>
      <c r="L20" s="71" t="s">
        <v>513</v>
      </c>
      <c r="O20" s="68"/>
      <c r="P20" s="68"/>
      <c r="Q20" s="61" t="s">
        <v>288</v>
      </c>
      <c r="R20" s="62">
        <v>46010</v>
      </c>
      <c r="S20" s="63">
        <v>46507</v>
      </c>
      <c r="V20" s="68"/>
      <c r="W20" s="68"/>
      <c r="X20" s="55" t="s">
        <v>131</v>
      </c>
      <c r="Y20" s="71" t="s">
        <v>127</v>
      </c>
    </row>
    <row r="21" spans="1:25">
      <c r="A21" s="68"/>
      <c r="B21" s="55" t="s">
        <v>270</v>
      </c>
      <c r="C21" s="55" t="s">
        <v>269</v>
      </c>
      <c r="D21" s="59">
        <v>1502000</v>
      </c>
      <c r="E21" s="74">
        <v>1500000</v>
      </c>
      <c r="F21" s="74">
        <v>1500000</v>
      </c>
      <c r="G21" s="60">
        <v>1500000</v>
      </c>
      <c r="I21" s="68"/>
      <c r="J21" s="55" t="s">
        <v>67</v>
      </c>
      <c r="K21" s="55" t="s">
        <v>311</v>
      </c>
      <c r="L21" s="71" t="s">
        <v>513</v>
      </c>
      <c r="O21" s="68"/>
      <c r="P21" s="55" t="s">
        <v>231</v>
      </c>
      <c r="Q21" s="55" t="s">
        <v>233</v>
      </c>
      <c r="R21" s="59">
        <v>46007</v>
      </c>
      <c r="S21" s="60">
        <v>46737</v>
      </c>
      <c r="V21" s="68"/>
      <c r="W21" s="68"/>
      <c r="X21" s="55" t="s">
        <v>205</v>
      </c>
      <c r="Y21" s="71" t="s">
        <v>201</v>
      </c>
    </row>
    <row r="22" spans="1:25">
      <c r="A22" s="68"/>
      <c r="B22" s="55" t="s">
        <v>67</v>
      </c>
      <c r="C22" s="55" t="s">
        <v>311</v>
      </c>
      <c r="D22" s="59">
        <v>2630400</v>
      </c>
      <c r="E22" s="74">
        <v>2600000</v>
      </c>
      <c r="F22" s="74">
        <v>2600000</v>
      </c>
      <c r="G22" s="60">
        <v>2600000</v>
      </c>
      <c r="I22" s="68"/>
      <c r="J22" s="55" t="s">
        <v>169</v>
      </c>
      <c r="K22" s="55" t="s">
        <v>173</v>
      </c>
      <c r="L22" s="71" t="s">
        <v>513</v>
      </c>
      <c r="O22" s="68"/>
      <c r="P22" s="55" t="s">
        <v>140</v>
      </c>
      <c r="Q22" s="55" t="s">
        <v>143</v>
      </c>
      <c r="R22" s="59">
        <v>46013</v>
      </c>
      <c r="S22" s="60">
        <v>46741</v>
      </c>
      <c r="V22" s="68"/>
      <c r="W22" s="68"/>
      <c r="X22" s="55" t="s">
        <v>190</v>
      </c>
      <c r="Y22" s="71" t="s">
        <v>187</v>
      </c>
    </row>
    <row r="23" spans="1:25">
      <c r="A23" s="68"/>
      <c r="B23" s="55" t="s">
        <v>169</v>
      </c>
      <c r="C23" s="55" t="s">
        <v>173</v>
      </c>
      <c r="D23" s="59">
        <v>505000</v>
      </c>
      <c r="E23" s="74">
        <v>500000</v>
      </c>
      <c r="F23" s="74">
        <v>500000</v>
      </c>
      <c r="G23" s="60"/>
      <c r="I23" s="68"/>
      <c r="J23" s="55" t="s">
        <v>254</v>
      </c>
      <c r="K23" s="55" t="s">
        <v>252</v>
      </c>
      <c r="L23" s="71" t="s">
        <v>513</v>
      </c>
      <c r="O23" s="68"/>
      <c r="P23" s="55" t="s">
        <v>79</v>
      </c>
      <c r="Q23" s="55" t="s">
        <v>82</v>
      </c>
      <c r="R23" s="59">
        <v>46022</v>
      </c>
      <c r="S23" s="60">
        <v>46507</v>
      </c>
      <c r="V23" s="68"/>
      <c r="W23" s="68"/>
      <c r="X23" s="55" t="s">
        <v>114</v>
      </c>
      <c r="Y23" s="71" t="s">
        <v>113</v>
      </c>
    </row>
    <row r="24" spans="1:25">
      <c r="A24" s="68"/>
      <c r="B24" s="55" t="s">
        <v>254</v>
      </c>
      <c r="C24" s="55" t="s">
        <v>252</v>
      </c>
      <c r="D24" s="59">
        <v>505000</v>
      </c>
      <c r="E24" s="74">
        <v>500000</v>
      </c>
      <c r="F24" s="74">
        <v>500000</v>
      </c>
      <c r="G24" s="60"/>
      <c r="I24" s="68"/>
      <c r="J24" s="55" t="s">
        <v>245</v>
      </c>
      <c r="K24" s="55" t="s">
        <v>243</v>
      </c>
      <c r="L24" s="71" t="s">
        <v>513</v>
      </c>
      <c r="O24" s="68"/>
      <c r="P24" s="55" t="s">
        <v>127</v>
      </c>
      <c r="Q24" s="55" t="s">
        <v>131</v>
      </c>
      <c r="R24" s="59">
        <v>46009</v>
      </c>
      <c r="S24" s="60">
        <v>46739</v>
      </c>
      <c r="V24" s="68"/>
      <c r="W24" s="68"/>
      <c r="X24" s="55" t="s">
        <v>288</v>
      </c>
      <c r="Y24" s="71" t="s">
        <v>271</v>
      </c>
    </row>
    <row r="25" spans="1:25">
      <c r="A25" s="68"/>
      <c r="B25" s="55" t="s">
        <v>245</v>
      </c>
      <c r="C25" s="55" t="s">
        <v>243</v>
      </c>
      <c r="D25" s="59">
        <v>505000</v>
      </c>
      <c r="E25" s="74">
        <v>500000</v>
      </c>
      <c r="F25" s="74">
        <v>500000</v>
      </c>
      <c r="G25" s="60"/>
      <c r="I25" s="68"/>
      <c r="J25" s="55" t="s">
        <v>372</v>
      </c>
      <c r="K25" s="55" t="s">
        <v>373</v>
      </c>
      <c r="L25" s="71" t="s">
        <v>513</v>
      </c>
      <c r="O25" s="68"/>
      <c r="P25" s="55" t="s">
        <v>270</v>
      </c>
      <c r="Q25" s="55" t="s">
        <v>269</v>
      </c>
      <c r="R25" s="59">
        <v>46008</v>
      </c>
      <c r="S25" s="60">
        <v>46738</v>
      </c>
      <c r="V25" s="68"/>
      <c r="W25" s="55">
        <v>5400020250019</v>
      </c>
      <c r="X25" s="55" t="s">
        <v>373</v>
      </c>
      <c r="Y25" s="71" t="s">
        <v>372</v>
      </c>
    </row>
    <row r="26" spans="1:25">
      <c r="A26" s="68"/>
      <c r="B26" s="55" t="s">
        <v>372</v>
      </c>
      <c r="C26" s="55" t="s">
        <v>373</v>
      </c>
      <c r="D26" s="59">
        <v>500000</v>
      </c>
      <c r="E26" s="74">
        <v>500000</v>
      </c>
      <c r="F26" s="74">
        <v>500000</v>
      </c>
      <c r="G26" s="60">
        <v>500000</v>
      </c>
      <c r="I26" s="55">
        <v>2026</v>
      </c>
      <c r="J26" s="55" t="s">
        <v>393</v>
      </c>
      <c r="K26" s="55" t="s">
        <v>513</v>
      </c>
      <c r="L26" s="71" t="s">
        <v>397</v>
      </c>
      <c r="O26" s="68"/>
      <c r="P26" s="55" t="s">
        <v>67</v>
      </c>
      <c r="Q26" s="55" t="s">
        <v>311</v>
      </c>
      <c r="R26" s="59">
        <v>46020</v>
      </c>
      <c r="S26" s="60">
        <v>46483</v>
      </c>
      <c r="V26" s="55">
        <v>2026</v>
      </c>
      <c r="W26" s="55">
        <v>5400020260017</v>
      </c>
      <c r="X26" s="55" t="s">
        <v>403</v>
      </c>
      <c r="Y26" s="71" t="s">
        <v>372</v>
      </c>
    </row>
    <row r="27" spans="1:25">
      <c r="A27" s="55">
        <v>2026</v>
      </c>
      <c r="B27" s="55" t="s">
        <v>393</v>
      </c>
      <c r="C27" s="55" t="s">
        <v>513</v>
      </c>
      <c r="D27" s="59">
        <v>550000</v>
      </c>
      <c r="E27" s="74">
        <v>500000</v>
      </c>
      <c r="F27" s="74"/>
      <c r="G27" s="60"/>
      <c r="I27" s="68"/>
      <c r="J27" s="55" t="s">
        <v>404</v>
      </c>
      <c r="K27" s="55" t="s">
        <v>405</v>
      </c>
      <c r="L27" s="71" t="s">
        <v>409</v>
      </c>
      <c r="O27" s="68"/>
      <c r="P27" s="55" t="s">
        <v>169</v>
      </c>
      <c r="Q27" s="55" t="s">
        <v>173</v>
      </c>
      <c r="R27" s="59">
        <v>46010</v>
      </c>
      <c r="S27" s="60">
        <v>46740</v>
      </c>
      <c r="V27" s="68"/>
      <c r="W27" s="55">
        <v>5400020260018</v>
      </c>
      <c r="X27" s="55" t="s">
        <v>405</v>
      </c>
      <c r="Y27" s="71" t="s">
        <v>404</v>
      </c>
    </row>
    <row r="28" spans="1:25">
      <c r="A28" s="68"/>
      <c r="B28" s="55" t="s">
        <v>404</v>
      </c>
      <c r="C28" s="55" t="s">
        <v>405</v>
      </c>
      <c r="D28" s="59">
        <v>1010000</v>
      </c>
      <c r="E28" s="74">
        <v>1000000</v>
      </c>
      <c r="F28" s="74">
        <v>1000000</v>
      </c>
      <c r="G28" s="60"/>
      <c r="I28" s="68"/>
      <c r="J28" s="55" t="s">
        <v>415</v>
      </c>
      <c r="K28" s="55" t="s">
        <v>513</v>
      </c>
      <c r="L28" s="71" t="s">
        <v>361</v>
      </c>
      <c r="O28" s="68"/>
      <c r="P28" s="55" t="s">
        <v>254</v>
      </c>
      <c r="Q28" s="55" t="s">
        <v>252</v>
      </c>
      <c r="R28" s="59">
        <v>46021</v>
      </c>
      <c r="S28" s="60">
        <v>46507</v>
      </c>
      <c r="V28" s="68"/>
      <c r="W28" s="68"/>
      <c r="X28" s="55" t="s">
        <v>421</v>
      </c>
      <c r="Y28" s="71" t="s">
        <v>422</v>
      </c>
    </row>
    <row r="29" spans="1:25">
      <c r="A29" s="68"/>
      <c r="B29" s="55" t="s">
        <v>415</v>
      </c>
      <c r="C29" s="55" t="s">
        <v>513</v>
      </c>
      <c r="D29" s="59">
        <v>251000</v>
      </c>
      <c r="E29" s="74">
        <v>250000</v>
      </c>
      <c r="F29" s="74"/>
      <c r="G29" s="60"/>
      <c r="I29" s="68"/>
      <c r="J29" s="55" t="s">
        <v>423</v>
      </c>
      <c r="K29" s="55" t="s">
        <v>513</v>
      </c>
      <c r="L29" s="71" t="s">
        <v>513</v>
      </c>
      <c r="O29" s="68"/>
      <c r="P29" s="55" t="s">
        <v>245</v>
      </c>
      <c r="Q29" s="55" t="s">
        <v>243</v>
      </c>
      <c r="R29" s="59">
        <v>46020</v>
      </c>
      <c r="S29" s="60">
        <v>46741</v>
      </c>
      <c r="V29" s="68"/>
      <c r="W29" s="68"/>
      <c r="X29" s="55" t="s">
        <v>380</v>
      </c>
      <c r="Y29" s="71" t="s">
        <v>378</v>
      </c>
    </row>
    <row r="30" spans="1:25">
      <c r="A30" s="68"/>
      <c r="B30" s="55" t="s">
        <v>423</v>
      </c>
      <c r="C30" s="55" t="s">
        <v>513</v>
      </c>
      <c r="D30" s="59">
        <v>500600</v>
      </c>
      <c r="E30" s="74">
        <v>500000</v>
      </c>
      <c r="F30" s="74"/>
      <c r="G30" s="60"/>
      <c r="I30" s="68"/>
      <c r="J30" s="55" t="s">
        <v>378</v>
      </c>
      <c r="K30" s="55" t="s">
        <v>380</v>
      </c>
      <c r="L30" s="71" t="s">
        <v>385</v>
      </c>
      <c r="O30" s="68"/>
      <c r="P30" s="55" t="s">
        <v>372</v>
      </c>
      <c r="Q30" s="55" t="s">
        <v>373</v>
      </c>
      <c r="R30" s="59">
        <v>45962</v>
      </c>
      <c r="S30" s="60">
        <v>46721</v>
      </c>
      <c r="V30" s="68"/>
      <c r="W30" s="68"/>
      <c r="X30" s="55" t="s">
        <v>390</v>
      </c>
      <c r="Y30" s="71" t="s">
        <v>388</v>
      </c>
    </row>
    <row r="31" spans="1:25">
      <c r="A31" s="68"/>
      <c r="B31" s="55" t="s">
        <v>378</v>
      </c>
      <c r="C31" s="55" t="s">
        <v>380</v>
      </c>
      <c r="D31" s="59">
        <v>505000</v>
      </c>
      <c r="E31" s="74">
        <v>500000</v>
      </c>
      <c r="F31" s="74">
        <v>500000</v>
      </c>
      <c r="G31" s="60"/>
      <c r="I31" s="68"/>
      <c r="J31" s="55" t="s">
        <v>422</v>
      </c>
      <c r="K31" s="55" t="s">
        <v>421</v>
      </c>
      <c r="L31" s="71" t="s">
        <v>361</v>
      </c>
      <c r="O31" s="55">
        <v>2026</v>
      </c>
      <c r="P31" s="55" t="s">
        <v>393</v>
      </c>
      <c r="Q31" s="55" t="s">
        <v>513</v>
      </c>
      <c r="R31" s="59">
        <v>46327</v>
      </c>
      <c r="S31" s="60">
        <v>46692</v>
      </c>
      <c r="V31" s="69"/>
      <c r="W31" s="69"/>
      <c r="X31" s="64" t="s">
        <v>399</v>
      </c>
      <c r="Y31" s="72" t="s">
        <v>396</v>
      </c>
    </row>
    <row r="32" spans="1:25">
      <c r="A32" s="68"/>
      <c r="B32" s="55" t="s">
        <v>422</v>
      </c>
      <c r="C32" s="55" t="s">
        <v>421</v>
      </c>
      <c r="D32" s="59">
        <v>263618.48</v>
      </c>
      <c r="E32" s="74">
        <v>250000</v>
      </c>
      <c r="F32" s="74"/>
      <c r="G32" s="60"/>
      <c r="I32" s="68"/>
      <c r="J32" s="55" t="s">
        <v>437</v>
      </c>
      <c r="K32" s="55" t="s">
        <v>513</v>
      </c>
      <c r="L32" s="71" t="s">
        <v>513</v>
      </c>
      <c r="O32" s="68"/>
      <c r="P32" s="55" t="s">
        <v>404</v>
      </c>
      <c r="Q32" s="55" t="s">
        <v>405</v>
      </c>
      <c r="R32" s="59">
        <v>46366</v>
      </c>
      <c r="S32" s="60">
        <v>46731</v>
      </c>
    </row>
    <row r="33" spans="1:19">
      <c r="A33" s="68"/>
      <c r="B33" s="55" t="s">
        <v>437</v>
      </c>
      <c r="C33" s="55" t="s">
        <v>513</v>
      </c>
      <c r="D33" s="59">
        <v>505050.51</v>
      </c>
      <c r="E33" s="74">
        <v>500000</v>
      </c>
      <c r="F33" s="74"/>
      <c r="G33" s="60"/>
      <c r="I33" s="68"/>
      <c r="J33" s="55" t="s">
        <v>388</v>
      </c>
      <c r="K33" s="55" t="s">
        <v>390</v>
      </c>
      <c r="L33" s="71" t="s">
        <v>385</v>
      </c>
      <c r="O33" s="68"/>
      <c r="P33" s="55" t="s">
        <v>415</v>
      </c>
      <c r="Q33" s="55" t="s">
        <v>513</v>
      </c>
      <c r="R33" s="59">
        <v>46259</v>
      </c>
      <c r="S33" s="60">
        <v>47118</v>
      </c>
    </row>
    <row r="34" spans="1:19">
      <c r="A34" s="68"/>
      <c r="B34" s="55" t="s">
        <v>388</v>
      </c>
      <c r="C34" s="55" t="s">
        <v>390</v>
      </c>
      <c r="D34" s="59">
        <v>505000</v>
      </c>
      <c r="E34" s="74">
        <v>500000</v>
      </c>
      <c r="F34" s="74">
        <v>500000</v>
      </c>
      <c r="G34" s="60"/>
      <c r="I34" s="68"/>
      <c r="J34" s="55" t="s">
        <v>396</v>
      </c>
      <c r="K34" s="55" t="s">
        <v>399</v>
      </c>
      <c r="L34" s="71" t="s">
        <v>406</v>
      </c>
      <c r="O34" s="68"/>
      <c r="P34" s="55" t="s">
        <v>423</v>
      </c>
      <c r="Q34" s="55" t="s">
        <v>513</v>
      </c>
      <c r="R34" s="59">
        <v>46326</v>
      </c>
      <c r="S34" s="60">
        <v>47057</v>
      </c>
    </row>
    <row r="35" spans="1:19">
      <c r="A35" s="68"/>
      <c r="B35" s="55" t="s">
        <v>396</v>
      </c>
      <c r="C35" s="55" t="s">
        <v>399</v>
      </c>
      <c r="D35" s="59">
        <v>1010000</v>
      </c>
      <c r="E35" s="74">
        <v>1000000</v>
      </c>
      <c r="F35" s="74">
        <v>1000000</v>
      </c>
      <c r="G35" s="60"/>
      <c r="I35" s="69"/>
      <c r="J35" s="64" t="s">
        <v>372</v>
      </c>
      <c r="K35" s="64" t="s">
        <v>403</v>
      </c>
      <c r="L35" s="72" t="s">
        <v>513</v>
      </c>
      <c r="O35" s="68"/>
      <c r="P35" s="55" t="s">
        <v>378</v>
      </c>
      <c r="Q35" s="55" t="s">
        <v>380</v>
      </c>
      <c r="R35" s="59">
        <v>46206</v>
      </c>
      <c r="S35" s="60">
        <v>46571</v>
      </c>
    </row>
    <row r="36" spans="1:19">
      <c r="A36" s="68"/>
      <c r="B36" s="55" t="s">
        <v>372</v>
      </c>
      <c r="C36" s="55" t="s">
        <v>403</v>
      </c>
      <c r="D36" s="59">
        <v>525000</v>
      </c>
      <c r="E36" s="74">
        <v>500000</v>
      </c>
      <c r="F36" s="74">
        <v>500000</v>
      </c>
      <c r="G36" s="60"/>
      <c r="I36" s="19"/>
      <c r="O36" s="68"/>
      <c r="P36" s="55" t="s">
        <v>422</v>
      </c>
      <c r="Q36" s="55" t="s">
        <v>421</v>
      </c>
      <c r="R36" s="59">
        <v>46237</v>
      </c>
      <c r="S36" s="60">
        <v>46995</v>
      </c>
    </row>
    <row r="37" spans="1:19">
      <c r="A37" s="64" t="s">
        <v>512</v>
      </c>
      <c r="B37" s="75"/>
      <c r="C37" s="75"/>
      <c r="D37" s="65">
        <v>37223601.839999996</v>
      </c>
      <c r="E37" s="76">
        <v>36813150</v>
      </c>
      <c r="F37" s="76">
        <v>35014000</v>
      </c>
      <c r="G37" s="66">
        <v>4600000</v>
      </c>
      <c r="I37" s="19"/>
      <c r="O37" s="68"/>
      <c r="P37" s="55" t="s">
        <v>437</v>
      </c>
      <c r="Q37" s="55" t="s">
        <v>513</v>
      </c>
      <c r="R37" s="59">
        <v>46386</v>
      </c>
      <c r="S37" s="60">
        <v>46751</v>
      </c>
    </row>
    <row r="38" spans="1:19">
      <c r="A38" s="19"/>
      <c r="I38" s="19"/>
      <c r="O38" s="68"/>
      <c r="P38" s="55" t="s">
        <v>388</v>
      </c>
      <c r="Q38" s="55" t="s">
        <v>390</v>
      </c>
      <c r="R38" s="59">
        <v>46206</v>
      </c>
      <c r="S38" s="60">
        <v>46571</v>
      </c>
    </row>
    <row r="39" spans="1:19">
      <c r="A39" s="19"/>
      <c r="I39" s="19"/>
      <c r="O39" s="68"/>
      <c r="P39" s="55" t="s">
        <v>396</v>
      </c>
      <c r="Q39" s="55" t="s">
        <v>399</v>
      </c>
      <c r="R39" s="59">
        <v>46188</v>
      </c>
      <c r="S39" s="60">
        <v>46553</v>
      </c>
    </row>
    <row r="40" spans="1:19">
      <c r="A40" s="19"/>
      <c r="I40" s="19"/>
      <c r="O40" s="69"/>
      <c r="P40" s="64" t="s">
        <v>372</v>
      </c>
      <c r="Q40" s="64" t="s">
        <v>403</v>
      </c>
      <c r="R40" s="65">
        <v>46357</v>
      </c>
      <c r="S40" s="66">
        <v>46721</v>
      </c>
    </row>
    <row r="41" spans="1:19">
      <c r="A41" s="19"/>
      <c r="I41" s="19"/>
    </row>
    <row r="42" spans="1:19">
      <c r="A42" s="19"/>
      <c r="I42" s="19"/>
    </row>
    <row r="43" spans="1:19">
      <c r="A43" s="19"/>
      <c r="I43" s="19"/>
    </row>
    <row r="44" spans="1:19">
      <c r="A44" s="19"/>
      <c r="I44" s="19"/>
    </row>
    <row r="45" spans="1:19">
      <c r="A45" s="19"/>
      <c r="I45" s="19"/>
    </row>
    <row r="46" spans="1:19">
      <c r="A46" s="19"/>
      <c r="I46" s="19"/>
    </row>
    <row r="47" spans="1:19">
      <c r="A47" s="19"/>
      <c r="I47" s="19"/>
    </row>
    <row r="48" spans="1:19">
      <c r="A48" s="19"/>
      <c r="I48" s="19"/>
    </row>
    <row r="49" spans="1:9">
      <c r="A49" s="19"/>
      <c r="I49" s="19"/>
    </row>
    <row r="50" spans="1:9">
      <c r="A50" s="19"/>
      <c r="I50" s="19"/>
    </row>
    <row r="51" spans="1:9">
      <c r="A51" s="19"/>
      <c r="I51" s="19"/>
    </row>
    <row r="52" spans="1:9">
      <c r="A52" s="19"/>
      <c r="I52" s="19"/>
    </row>
    <row r="53" spans="1:9">
      <c r="A53" s="19"/>
      <c r="I53" s="19"/>
    </row>
    <row r="54" spans="1:9">
      <c r="A54" s="19"/>
      <c r="I54" s="19"/>
    </row>
    <row r="55" spans="1:9">
      <c r="A55" s="19"/>
      <c r="I55" s="19"/>
    </row>
    <row r="56" spans="1:9">
      <c r="A56" s="19"/>
      <c r="I56" s="19"/>
    </row>
    <row r="57" spans="1:9">
      <c r="A57" s="19"/>
      <c r="I57" s="19"/>
    </row>
    <row r="58" spans="1:9">
      <c r="A58" s="19"/>
      <c r="I58" s="19"/>
    </row>
    <row r="59" spans="1:9">
      <c r="A59" s="19"/>
      <c r="I59" s="19"/>
    </row>
    <row r="60" spans="1:9">
      <c r="A60" s="19"/>
      <c r="I60" s="19"/>
    </row>
    <row r="61" spans="1:9">
      <c r="A61" s="19"/>
      <c r="I61" s="19"/>
    </row>
    <row r="62" spans="1:9">
      <c r="A62" s="19"/>
      <c r="I62" s="19"/>
    </row>
    <row r="63" spans="1:9">
      <c r="A63" s="19"/>
      <c r="I63" s="19"/>
    </row>
    <row r="64" spans="1:9">
      <c r="A64" s="19"/>
      <c r="I64" s="19"/>
    </row>
    <row r="65" spans="1:9">
      <c r="A65" s="19"/>
      <c r="I65" s="19"/>
    </row>
    <row r="66" spans="1:9">
      <c r="A66" s="19"/>
      <c r="I66" s="19"/>
    </row>
    <row r="67" spans="1:9">
      <c r="A67" s="19"/>
      <c r="I67" s="19"/>
    </row>
    <row r="68" spans="1:9">
      <c r="A68" s="19"/>
      <c r="I68" s="19"/>
    </row>
    <row r="69" spans="1:9">
      <c r="A69" s="19"/>
      <c r="I69" s="19"/>
    </row>
    <row r="70" spans="1:9">
      <c r="A70" s="19"/>
      <c r="I70" s="19"/>
    </row>
    <row r="71" spans="1:9">
      <c r="A71" s="19"/>
      <c r="I71" s="19"/>
    </row>
    <row r="72" spans="1:9">
      <c r="A72" s="19"/>
      <c r="I72" s="19"/>
    </row>
    <row r="73" spans="1:9">
      <c r="A73" s="19"/>
      <c r="I73" s="19"/>
    </row>
    <row r="74" spans="1:9">
      <c r="A74" s="19"/>
      <c r="I74" s="19"/>
    </row>
    <row r="75" spans="1:9">
      <c r="A75" s="19"/>
      <c r="I75" s="19"/>
    </row>
    <row r="76" spans="1:9">
      <c r="A76" s="19"/>
      <c r="I76" s="19"/>
    </row>
    <row r="77" spans="1:9">
      <c r="A77" s="19"/>
      <c r="I77" s="19"/>
    </row>
    <row r="78" spans="1:9">
      <c r="A78" s="19"/>
      <c r="I78" s="19"/>
    </row>
    <row r="79" spans="1:9">
      <c r="A79" s="19"/>
      <c r="I79" s="19"/>
    </row>
    <row r="80" spans="1:9">
      <c r="A80" s="19"/>
      <c r="I80" s="19"/>
    </row>
    <row r="81" spans="1:9">
      <c r="A81" s="19"/>
      <c r="I81" s="19"/>
    </row>
    <row r="82" spans="1:9">
      <c r="A82" s="19"/>
      <c r="I82" s="19"/>
    </row>
    <row r="83" spans="1:9">
      <c r="A83" s="19"/>
      <c r="I83" s="19"/>
    </row>
    <row r="84" spans="1:9">
      <c r="A84" s="19"/>
      <c r="I84" s="19"/>
    </row>
    <row r="85" spans="1:9">
      <c r="A85" s="19"/>
      <c r="I85" s="19"/>
    </row>
    <row r="86" spans="1:9">
      <c r="A86" s="19"/>
      <c r="I86" s="19"/>
    </row>
    <row r="87" spans="1:9">
      <c r="A87" s="19"/>
      <c r="I87" s="19"/>
    </row>
    <row r="88" spans="1:9">
      <c r="A88" s="19"/>
      <c r="I88" s="19"/>
    </row>
    <row r="89" spans="1:9">
      <c r="A89" s="19"/>
      <c r="I89" s="19"/>
    </row>
    <row r="90" spans="1:9">
      <c r="A90" s="19"/>
      <c r="I90" s="19"/>
    </row>
    <row r="91" spans="1:9">
      <c r="A91" s="19"/>
      <c r="I91" s="19"/>
    </row>
    <row r="92" spans="1:9">
      <c r="A92" s="19"/>
      <c r="I92" s="19"/>
    </row>
    <row r="93" spans="1:9">
      <c r="A93" s="19"/>
      <c r="I93" s="19"/>
    </row>
    <row r="94" spans="1:9">
      <c r="A94" s="19"/>
      <c r="I94" s="19"/>
    </row>
    <row r="95" spans="1:9">
      <c r="A95" s="19"/>
      <c r="I95" s="19"/>
    </row>
    <row r="96" spans="1:9">
      <c r="A96" s="19"/>
      <c r="I96" s="19"/>
    </row>
    <row r="97" spans="1:9">
      <c r="A97" s="19"/>
      <c r="I97" s="19"/>
    </row>
    <row r="98" spans="1:9">
      <c r="A98" s="19"/>
      <c r="I98" s="19"/>
    </row>
    <row r="99" spans="1:9">
      <c r="A99" s="19"/>
      <c r="I99" s="19"/>
    </row>
    <row r="100" spans="1:9">
      <c r="A100" s="19"/>
      <c r="I100" s="19"/>
    </row>
    <row r="101" spans="1:9">
      <c r="A101" s="19"/>
      <c r="I101" s="19"/>
    </row>
    <row r="102" spans="1:9">
      <c r="A102" s="19"/>
      <c r="I102" s="19"/>
    </row>
    <row r="103" spans="1:9">
      <c r="A103" s="19"/>
      <c r="I103" s="19"/>
    </row>
    <row r="104" spans="1:9">
      <c r="A104" s="19"/>
      <c r="I104" s="19"/>
    </row>
    <row r="105" spans="1:9">
      <c r="A105" s="19"/>
      <c r="I105" s="19"/>
    </row>
    <row r="106" spans="1:9">
      <c r="A106" s="19"/>
      <c r="I106" s="19"/>
    </row>
    <row r="107" spans="1:9">
      <c r="A107" s="19"/>
      <c r="I107" s="19"/>
    </row>
    <row r="108" spans="1:9">
      <c r="A108" s="19"/>
      <c r="I108" s="19"/>
    </row>
    <row r="109" spans="1:9">
      <c r="A109" s="19"/>
      <c r="I109" s="19"/>
    </row>
    <row r="110" spans="1:9">
      <c r="A110" s="19"/>
      <c r="I110" s="19"/>
    </row>
    <row r="111" spans="1:9">
      <c r="A111" s="19"/>
      <c r="I111" s="19"/>
    </row>
    <row r="112" spans="1:9">
      <c r="A112" s="19"/>
      <c r="I112" s="19"/>
    </row>
    <row r="113" spans="1:9">
      <c r="A113" s="19"/>
      <c r="I113" s="19"/>
    </row>
    <row r="114" spans="1:9">
      <c r="A114" s="19"/>
      <c r="I114" s="19"/>
    </row>
    <row r="115" spans="1:9">
      <c r="A115" s="19"/>
      <c r="I115" s="19"/>
    </row>
    <row r="116" spans="1:9">
      <c r="A116" s="19"/>
      <c r="I116" s="19"/>
    </row>
    <row r="117" spans="1:9">
      <c r="A117" s="19"/>
      <c r="I117" s="19"/>
    </row>
    <row r="118" spans="1:9">
      <c r="A118" s="19"/>
      <c r="I118" s="19"/>
    </row>
    <row r="119" spans="1:9">
      <c r="A119" s="19"/>
      <c r="I119" s="19"/>
    </row>
    <row r="120" spans="1:9">
      <c r="A120" s="19"/>
      <c r="I120" s="19"/>
    </row>
    <row r="121" spans="1:9">
      <c r="A121" s="19"/>
      <c r="I121" s="19"/>
    </row>
    <row r="122" spans="1:9">
      <c r="A122" s="19"/>
      <c r="I122" s="19"/>
    </row>
    <row r="123" spans="1:9">
      <c r="A123" s="19"/>
      <c r="I123" s="19"/>
    </row>
    <row r="124" spans="1:9">
      <c r="A124" s="19"/>
      <c r="I124" s="19"/>
    </row>
    <row r="125" spans="1:9">
      <c r="A125" s="19"/>
      <c r="I125" s="19"/>
    </row>
    <row r="126" spans="1:9">
      <c r="A126" s="19"/>
      <c r="I126" s="19"/>
    </row>
    <row r="127" spans="1:9">
      <c r="A127" s="19"/>
      <c r="I127" s="19"/>
    </row>
    <row r="128" spans="1:9">
      <c r="A128" s="19"/>
      <c r="I128" s="19"/>
    </row>
    <row r="129" spans="1:9">
      <c r="A129" s="19"/>
      <c r="I129" s="19"/>
    </row>
    <row r="130" spans="1:9">
      <c r="A130" s="19"/>
      <c r="I130" s="19"/>
    </row>
    <row r="131" spans="1:9">
      <c r="A131" s="19"/>
      <c r="I131" s="19"/>
    </row>
    <row r="132" spans="1:9">
      <c r="A132" s="19"/>
      <c r="I132" s="19"/>
    </row>
    <row r="133" spans="1:9">
      <c r="A133" s="19"/>
      <c r="I133" s="19"/>
    </row>
    <row r="134" spans="1:9">
      <c r="A134" s="19"/>
      <c r="I134" s="19"/>
    </row>
    <row r="135" spans="1:9">
      <c r="A135" s="19"/>
      <c r="I135" s="19"/>
    </row>
    <row r="136" spans="1:9">
      <c r="A136" s="19"/>
      <c r="I136" s="19"/>
    </row>
    <row r="137" spans="1:9">
      <c r="A137" s="19"/>
      <c r="I137" s="19"/>
    </row>
    <row r="138" spans="1:9">
      <c r="A138" s="19"/>
      <c r="I138" s="19"/>
    </row>
    <row r="139" spans="1:9">
      <c r="A139" s="19"/>
      <c r="I139" s="19"/>
    </row>
    <row r="140" spans="1:9">
      <c r="A140" s="19"/>
      <c r="I140" s="19"/>
    </row>
    <row r="141" spans="1:9">
      <c r="A141" s="19"/>
      <c r="I141" s="19"/>
    </row>
    <row r="142" spans="1:9">
      <c r="A142" s="19"/>
      <c r="I142" s="19"/>
    </row>
    <row r="143" spans="1:9">
      <c r="A143" s="19"/>
      <c r="I143" s="19"/>
    </row>
    <row r="144" spans="1:9">
      <c r="A144" s="19"/>
      <c r="I144" s="19"/>
    </row>
    <row r="145" spans="1:9">
      <c r="A145" s="19"/>
      <c r="I145" s="19"/>
    </row>
    <row r="146" spans="1:9">
      <c r="A146" s="19"/>
      <c r="I146" s="19"/>
    </row>
    <row r="147" spans="1:9">
      <c r="A147" s="19"/>
      <c r="I147" s="19"/>
    </row>
    <row r="148" spans="1:9">
      <c r="A148" s="19"/>
      <c r="I148" s="19"/>
    </row>
    <row r="149" spans="1:9">
      <c r="A149" s="19"/>
      <c r="I149" s="19"/>
    </row>
    <row r="150" spans="1:9">
      <c r="A150" s="19"/>
      <c r="I150" s="19"/>
    </row>
    <row r="151" spans="1:9">
      <c r="A151" s="19"/>
      <c r="I151" s="19"/>
    </row>
    <row r="152" spans="1:9">
      <c r="A152" s="19"/>
      <c r="I152" s="19"/>
    </row>
    <row r="153" spans="1:9">
      <c r="A153" s="19"/>
      <c r="I153" s="19"/>
    </row>
    <row r="154" spans="1:9">
      <c r="A154" s="19"/>
      <c r="I154" s="19"/>
    </row>
    <row r="155" spans="1:9">
      <c r="A155" s="19"/>
      <c r="I155" s="19"/>
    </row>
    <row r="156" spans="1:9">
      <c r="A156" s="19"/>
      <c r="I156" s="19"/>
    </row>
    <row r="157" spans="1:9">
      <c r="A157" s="19"/>
      <c r="I157" s="19"/>
    </row>
    <row r="158" spans="1:9">
      <c r="A158" s="19"/>
      <c r="I158" s="19"/>
    </row>
    <row r="159" spans="1:9">
      <c r="A159" s="19"/>
      <c r="I159" s="19"/>
    </row>
    <row r="160" spans="1:9">
      <c r="A160" s="19"/>
      <c r="I160" s="19"/>
    </row>
    <row r="161" spans="1:9">
      <c r="A161" s="19"/>
      <c r="I161" s="19"/>
    </row>
    <row r="162" spans="1:9">
      <c r="A162" s="19"/>
      <c r="I162" s="19"/>
    </row>
    <row r="163" spans="1:9">
      <c r="A163" s="19"/>
      <c r="I163" s="19"/>
    </row>
    <row r="164" spans="1:9">
      <c r="A164" s="19"/>
      <c r="I164" s="19"/>
    </row>
    <row r="165" spans="1:9">
      <c r="A165" s="19"/>
      <c r="I165" s="19"/>
    </row>
    <row r="166" spans="1:9">
      <c r="A166" s="19"/>
      <c r="I166" s="19"/>
    </row>
    <row r="167" spans="1:9">
      <c r="A167" s="19"/>
      <c r="I167" s="19"/>
    </row>
    <row r="168" spans="1:9">
      <c r="A168" s="19"/>
      <c r="I168" s="19"/>
    </row>
    <row r="169" spans="1:9">
      <c r="A169" s="19"/>
      <c r="I169" s="19"/>
    </row>
    <row r="170" spans="1:9">
      <c r="A170" s="19"/>
      <c r="I170" s="19"/>
    </row>
    <row r="171" spans="1:9">
      <c r="A171" s="19"/>
      <c r="I171" s="19"/>
    </row>
    <row r="172" spans="1:9">
      <c r="A172" s="19"/>
      <c r="I172" s="19"/>
    </row>
    <row r="173" spans="1:9">
      <c r="A173" s="19"/>
      <c r="I173" s="19"/>
    </row>
    <row r="174" spans="1:9">
      <c r="A174" s="19"/>
      <c r="I174" s="19"/>
    </row>
    <row r="175" spans="1:9">
      <c r="A175" s="19"/>
      <c r="I175" s="19"/>
    </row>
    <row r="176" spans="1:9">
      <c r="A176" s="19"/>
      <c r="I176" s="19"/>
    </row>
    <row r="177" spans="1:9">
      <c r="A177" s="19"/>
      <c r="I177" s="19"/>
    </row>
    <row r="178" spans="1:9">
      <c r="A178" s="19"/>
      <c r="I178" s="19"/>
    </row>
    <row r="179" spans="1:9">
      <c r="A179" s="19"/>
      <c r="I179" s="19"/>
    </row>
    <row r="180" spans="1:9">
      <c r="A180" s="19"/>
      <c r="I180" s="19"/>
    </row>
    <row r="181" spans="1:9">
      <c r="A181" s="19"/>
      <c r="I181" s="19"/>
    </row>
    <row r="182" spans="1:9">
      <c r="A182" s="19"/>
      <c r="I182" s="19"/>
    </row>
    <row r="183" spans="1:9">
      <c r="A183" s="19"/>
      <c r="I183" s="19"/>
    </row>
    <row r="184" spans="1:9">
      <c r="A184" s="19"/>
      <c r="I184" s="19"/>
    </row>
    <row r="185" spans="1:9">
      <c r="A185" s="19"/>
      <c r="I185" s="19"/>
    </row>
    <row r="186" spans="1:9">
      <c r="A186" s="19"/>
      <c r="I186" s="19"/>
    </row>
    <row r="187" spans="1:9">
      <c r="A187" s="19"/>
      <c r="I187" s="19"/>
    </row>
    <row r="188" spans="1:9">
      <c r="A188" s="19"/>
      <c r="I188" s="19"/>
    </row>
    <row r="189" spans="1:9">
      <c r="A189" s="19"/>
      <c r="I189" s="19"/>
    </row>
    <row r="190" spans="1:9">
      <c r="A190" s="19"/>
      <c r="I190" s="19"/>
    </row>
    <row r="191" spans="1:9">
      <c r="A191" s="19"/>
      <c r="I191" s="19"/>
    </row>
    <row r="192" spans="1:9">
      <c r="A192" s="19"/>
      <c r="I192" s="19"/>
    </row>
    <row r="193" spans="1:9">
      <c r="A193" s="19"/>
      <c r="I193" s="19"/>
    </row>
    <row r="194" spans="1:9">
      <c r="A194" s="19"/>
      <c r="I194" s="19"/>
    </row>
    <row r="195" spans="1:9">
      <c r="A195" s="19"/>
      <c r="I195" s="19"/>
    </row>
    <row r="196" spans="1:9">
      <c r="A196" s="19"/>
      <c r="I196" s="19"/>
    </row>
    <row r="197" spans="1:9">
      <c r="A197" s="19"/>
      <c r="I197" s="19"/>
    </row>
    <row r="198" spans="1:9">
      <c r="A198" s="19"/>
      <c r="I198" s="19"/>
    </row>
    <row r="199" spans="1:9">
      <c r="A199" s="19"/>
      <c r="I199" s="19"/>
    </row>
    <row r="200" spans="1:9">
      <c r="A200" s="19"/>
      <c r="I200" s="19"/>
    </row>
    <row r="201" spans="1:9">
      <c r="A201" s="19"/>
      <c r="I201" s="19"/>
    </row>
    <row r="202" spans="1:9">
      <c r="A202" s="19"/>
      <c r="I202" s="19"/>
    </row>
    <row r="203" spans="1:9">
      <c r="A203" s="19"/>
      <c r="I203" s="19"/>
    </row>
    <row r="204" spans="1:9">
      <c r="A204" s="19"/>
      <c r="I204" s="19"/>
    </row>
    <row r="205" spans="1:9">
      <c r="A205" s="19"/>
      <c r="I205" s="19"/>
    </row>
    <row r="206" spans="1:9">
      <c r="A206" s="19"/>
      <c r="I206" s="19"/>
    </row>
    <row r="207" spans="1:9">
      <c r="A207" s="19"/>
      <c r="I207" s="19"/>
    </row>
    <row r="208" spans="1:9">
      <c r="A208" s="19"/>
      <c r="I208" s="19"/>
    </row>
    <row r="209" spans="1:9">
      <c r="A209" s="19"/>
      <c r="I209" s="19"/>
    </row>
    <row r="210" spans="1:9">
      <c r="A210" s="19"/>
      <c r="I210" s="19"/>
    </row>
    <row r="211" spans="1:9">
      <c r="A211" s="19"/>
      <c r="I211" s="19"/>
    </row>
    <row r="212" spans="1:9">
      <c r="A212" s="19"/>
      <c r="I212" s="19"/>
    </row>
    <row r="213" spans="1:9">
      <c r="A213" s="19"/>
      <c r="I213" s="19"/>
    </row>
    <row r="214" spans="1:9">
      <c r="A214" s="19"/>
      <c r="I214" s="19"/>
    </row>
    <row r="215" spans="1:9">
      <c r="A215" s="19"/>
      <c r="I215" s="19"/>
    </row>
    <row r="216" spans="1:9">
      <c r="A216" s="19"/>
      <c r="I216" s="19"/>
    </row>
    <row r="217" spans="1:9">
      <c r="A217" s="19"/>
      <c r="I217" s="19"/>
    </row>
    <row r="218" spans="1:9">
      <c r="A218" s="19"/>
      <c r="I218" s="19"/>
    </row>
    <row r="219" spans="1:9">
      <c r="A219" s="19"/>
      <c r="I219" s="19"/>
    </row>
    <row r="220" spans="1:9">
      <c r="A220" s="19"/>
      <c r="I220" s="19"/>
    </row>
    <row r="221" spans="1:9">
      <c r="A221" s="19"/>
      <c r="I221" s="19"/>
    </row>
    <row r="222" spans="1:9">
      <c r="A222" s="19"/>
      <c r="I222" s="19"/>
    </row>
    <row r="223" spans="1:9">
      <c r="A223" s="19"/>
      <c r="I223" s="19"/>
    </row>
    <row r="224" spans="1:9">
      <c r="A224" s="19"/>
      <c r="I224" s="19"/>
    </row>
    <row r="225" spans="1:9">
      <c r="A225" s="19"/>
      <c r="I225" s="19"/>
    </row>
    <row r="226" spans="1:9">
      <c r="A226" s="19"/>
      <c r="I226" s="19"/>
    </row>
    <row r="227" spans="1:9">
      <c r="A227" s="19"/>
      <c r="I227" s="19"/>
    </row>
    <row r="228" spans="1:9">
      <c r="A228" s="19"/>
      <c r="I228" s="19"/>
    </row>
    <row r="229" spans="1:9">
      <c r="A229" s="19"/>
      <c r="I229" s="19"/>
    </row>
    <row r="230" spans="1:9">
      <c r="A230" s="19"/>
      <c r="I230" s="19"/>
    </row>
    <row r="231" spans="1:9">
      <c r="A231" s="19"/>
      <c r="I231" s="19"/>
    </row>
    <row r="232" spans="1:9">
      <c r="A232" s="19"/>
      <c r="I232" s="19"/>
    </row>
    <row r="233" spans="1:9">
      <c r="A233" s="19"/>
      <c r="I233" s="19"/>
    </row>
    <row r="234" spans="1:9">
      <c r="A234" s="19"/>
      <c r="I234" s="19"/>
    </row>
    <row r="235" spans="1:9">
      <c r="A235" s="19"/>
      <c r="I235" s="19"/>
    </row>
    <row r="236" spans="1:9">
      <c r="A236" s="19"/>
      <c r="I236" s="19"/>
    </row>
    <row r="237" spans="1:9">
      <c r="A237" s="19"/>
      <c r="I237" s="19"/>
    </row>
    <row r="238" spans="1:9">
      <c r="A238" s="19"/>
      <c r="I238" s="19"/>
    </row>
    <row r="239" spans="1:9">
      <c r="A239" s="19"/>
      <c r="I239" s="19"/>
    </row>
    <row r="240" spans="1:9">
      <c r="A240" s="19"/>
      <c r="I240" s="19"/>
    </row>
    <row r="241" spans="1:9">
      <c r="A241" s="19"/>
      <c r="I241" s="19"/>
    </row>
    <row r="242" spans="1:9">
      <c r="A242" s="19"/>
      <c r="I242" s="19"/>
    </row>
    <row r="243" spans="1:9">
      <c r="A243" s="19"/>
      <c r="I243" s="19"/>
    </row>
    <row r="244" spans="1:9">
      <c r="A244" s="19"/>
      <c r="I244" s="19"/>
    </row>
    <row r="245" spans="1:9">
      <c r="A245" s="19"/>
      <c r="I245" s="19"/>
    </row>
    <row r="246" spans="1:9">
      <c r="A246" s="19"/>
      <c r="I246" s="19"/>
    </row>
    <row r="247" spans="1:9">
      <c r="A247" s="19"/>
      <c r="I247" s="19"/>
    </row>
    <row r="248" spans="1:9">
      <c r="A248" s="19"/>
      <c r="I248" s="19"/>
    </row>
    <row r="249" spans="1:9">
      <c r="A249" s="19"/>
      <c r="I249" s="19"/>
    </row>
    <row r="250" spans="1:9">
      <c r="A250" s="19"/>
      <c r="I250" s="19"/>
    </row>
    <row r="251" spans="1:9">
      <c r="A251" s="19"/>
      <c r="I251" s="19"/>
    </row>
    <row r="252" spans="1:9">
      <c r="A252" s="19"/>
      <c r="I252" s="19"/>
    </row>
    <row r="253" spans="1:9">
      <c r="A253" s="19"/>
      <c r="I253" s="19"/>
    </row>
    <row r="254" spans="1:9">
      <c r="A254" s="19"/>
      <c r="I254" s="19"/>
    </row>
    <row r="255" spans="1:9">
      <c r="A255" s="19"/>
      <c r="I255" s="19"/>
    </row>
    <row r="256" spans="1:9">
      <c r="A256" s="19"/>
      <c r="I256" s="19"/>
    </row>
    <row r="257" spans="1:9">
      <c r="A257" s="19"/>
      <c r="I257" s="19"/>
    </row>
    <row r="258" spans="1:9">
      <c r="A258" s="19"/>
      <c r="I258" s="19"/>
    </row>
    <row r="259" spans="1:9">
      <c r="A259" s="19"/>
      <c r="I259" s="19"/>
    </row>
    <row r="260" spans="1:9">
      <c r="A260" s="19"/>
      <c r="I260" s="19"/>
    </row>
    <row r="261" spans="1:9">
      <c r="A261" s="19"/>
      <c r="I261" s="19"/>
    </row>
    <row r="262" spans="1:9">
      <c r="A262" s="19"/>
      <c r="I262" s="19"/>
    </row>
    <row r="263" spans="1:9">
      <c r="A263" s="19"/>
      <c r="I263" s="19"/>
    </row>
    <row r="264" spans="1:9">
      <c r="A264" s="19"/>
      <c r="I264" s="19"/>
    </row>
    <row r="265" spans="1:9">
      <c r="A265" s="19"/>
      <c r="I265" s="19"/>
    </row>
    <row r="266" spans="1:9">
      <c r="A266" s="19"/>
      <c r="I266" s="19"/>
    </row>
    <row r="267" spans="1:9">
      <c r="A267" s="19"/>
      <c r="I267" s="19"/>
    </row>
    <row r="268" spans="1:9">
      <c r="A268" s="19"/>
      <c r="I268" s="19"/>
    </row>
    <row r="269" spans="1:9">
      <c r="A269" s="19"/>
      <c r="I269" s="19"/>
    </row>
    <row r="270" spans="1:9">
      <c r="A270" s="19"/>
      <c r="I270" s="19"/>
    </row>
    <row r="271" spans="1:9">
      <c r="A271" s="19"/>
      <c r="I271" s="19"/>
    </row>
    <row r="272" spans="1:9">
      <c r="A272" s="19"/>
      <c r="I272" s="19"/>
    </row>
    <row r="273" spans="1:9">
      <c r="A273" s="19"/>
      <c r="I273" s="19"/>
    </row>
    <row r="274" spans="1:9">
      <c r="A274" s="19"/>
      <c r="I274" s="19"/>
    </row>
    <row r="275" spans="1:9">
      <c r="A275" s="19"/>
      <c r="I275" s="19"/>
    </row>
    <row r="276" spans="1:9">
      <c r="A276" s="19"/>
      <c r="I276" s="19"/>
    </row>
    <row r="277" spans="1:9">
      <c r="A277" s="19"/>
      <c r="I277" s="19"/>
    </row>
    <row r="278" spans="1:9">
      <c r="A278" s="19"/>
      <c r="I278" s="19"/>
    </row>
    <row r="279" spans="1:9">
      <c r="A279" s="19"/>
      <c r="I279" s="19"/>
    </row>
    <row r="280" spans="1:9">
      <c r="A280" s="19"/>
      <c r="I280" s="19"/>
    </row>
    <row r="281" spans="1:9">
      <c r="A281" s="19"/>
      <c r="I281" s="19"/>
    </row>
    <row r="282" spans="1:9">
      <c r="A282" s="19"/>
      <c r="I282" s="19"/>
    </row>
    <row r="283" spans="1:9">
      <c r="A283" s="19"/>
      <c r="I283" s="19"/>
    </row>
    <row r="284" spans="1:9">
      <c r="A284" s="19"/>
      <c r="I284" s="19"/>
    </row>
    <row r="285" spans="1:9">
      <c r="A285" s="19"/>
      <c r="I285" s="19"/>
    </row>
    <row r="286" spans="1:9">
      <c r="A286" s="19"/>
      <c r="I286" s="19"/>
    </row>
    <row r="287" spans="1:9">
      <c r="A287" s="19"/>
      <c r="I287" s="19"/>
    </row>
    <row r="288" spans="1:9">
      <c r="A288" s="19"/>
      <c r="I288" s="19"/>
    </row>
    <row r="289" spans="1:9">
      <c r="A289" s="19"/>
      <c r="I289" s="19"/>
    </row>
    <row r="290" spans="1:9">
      <c r="A290" s="19"/>
      <c r="I290" s="19"/>
    </row>
    <row r="291" spans="1:9">
      <c r="A291" s="19"/>
      <c r="I291" s="19"/>
    </row>
    <row r="292" spans="1:9">
      <c r="A292" s="19"/>
      <c r="I292" s="19"/>
    </row>
    <row r="293" spans="1:9">
      <c r="A293" s="19"/>
      <c r="I293" s="19"/>
    </row>
    <row r="294" spans="1:9">
      <c r="A294" s="19"/>
      <c r="I294" s="19"/>
    </row>
    <row r="295" spans="1:9">
      <c r="A295" s="19"/>
      <c r="I295" s="19"/>
    </row>
    <row r="296" spans="1:9">
      <c r="A296" s="19"/>
      <c r="I296" s="19"/>
    </row>
    <row r="297" spans="1:9">
      <c r="A297" s="19"/>
      <c r="I297" s="19"/>
    </row>
    <row r="298" spans="1:9">
      <c r="A298" s="19"/>
      <c r="I298" s="19"/>
    </row>
    <row r="299" spans="1:9">
      <c r="A299" s="19"/>
      <c r="I299" s="19"/>
    </row>
    <row r="300" spans="1:9">
      <c r="A300" s="19"/>
      <c r="I300" s="19"/>
    </row>
    <row r="301" spans="1:9">
      <c r="A301" s="19"/>
      <c r="I301" s="19"/>
    </row>
    <row r="302" spans="1:9">
      <c r="A302" s="19"/>
      <c r="I302" s="19"/>
    </row>
    <row r="303" spans="1:9">
      <c r="A303" s="19"/>
      <c r="I303" s="19"/>
    </row>
    <row r="304" spans="1:9">
      <c r="A304" s="19"/>
      <c r="I304" s="19"/>
    </row>
    <row r="305" spans="1:9">
      <c r="A305" s="19"/>
      <c r="I305" s="19"/>
    </row>
    <row r="306" spans="1:9">
      <c r="A306" s="19"/>
      <c r="I306" s="19"/>
    </row>
    <row r="307" spans="1:9">
      <c r="A307" s="19"/>
      <c r="I307" s="19"/>
    </row>
    <row r="308" spans="1:9">
      <c r="A308" s="19"/>
      <c r="I308" s="19"/>
    </row>
    <row r="309" spans="1:9">
      <c r="A309" s="19"/>
      <c r="I309" s="19"/>
    </row>
    <row r="310" spans="1:9">
      <c r="A310" s="19"/>
      <c r="I310" s="19"/>
    </row>
    <row r="311" spans="1:9">
      <c r="A311" s="19"/>
      <c r="I311" s="19"/>
    </row>
    <row r="312" spans="1:9">
      <c r="A312" s="19"/>
      <c r="I312" s="19"/>
    </row>
    <row r="313" spans="1:9">
      <c r="A313" s="19"/>
      <c r="I313" s="19"/>
    </row>
    <row r="314" spans="1:9">
      <c r="A314" s="19"/>
      <c r="I314" s="19"/>
    </row>
    <row r="315" spans="1:9">
      <c r="A315" s="19"/>
      <c r="I315" s="19"/>
    </row>
    <row r="316" spans="1:9">
      <c r="A316" s="19"/>
      <c r="I316" s="19"/>
    </row>
    <row r="317" spans="1:9">
      <c r="A317" s="19"/>
      <c r="I317" s="19"/>
    </row>
    <row r="318" spans="1:9">
      <c r="A318" s="19"/>
      <c r="I318" s="19"/>
    </row>
    <row r="319" spans="1:9">
      <c r="A319" s="19"/>
      <c r="I319" s="19"/>
    </row>
    <row r="320" spans="1:9">
      <c r="A320" s="19"/>
      <c r="I320" s="19"/>
    </row>
    <row r="321" spans="1:9">
      <c r="A321" s="19"/>
      <c r="I321" s="19"/>
    </row>
    <row r="322" spans="1:9">
      <c r="A322" s="19"/>
      <c r="I322" s="19"/>
    </row>
    <row r="323" spans="1:9">
      <c r="A323" s="19"/>
      <c r="I323" s="19"/>
    </row>
    <row r="324" spans="1:9">
      <c r="A324" s="19"/>
      <c r="I324" s="19"/>
    </row>
    <row r="325" spans="1:9">
      <c r="A325" s="19"/>
      <c r="I325" s="19"/>
    </row>
    <row r="326" spans="1:9">
      <c r="A326" s="19"/>
      <c r="I326" s="19"/>
    </row>
    <row r="327" spans="1:9">
      <c r="A327" s="19"/>
      <c r="I327" s="19"/>
    </row>
    <row r="328" spans="1:9">
      <c r="A328" s="19"/>
      <c r="I328" s="19"/>
    </row>
    <row r="329" spans="1:9">
      <c r="A329" s="19"/>
      <c r="I329" s="19"/>
    </row>
    <row r="330" spans="1:9">
      <c r="A330" s="19"/>
      <c r="I330" s="19"/>
    </row>
    <row r="331" spans="1:9">
      <c r="A331" s="19"/>
      <c r="I331" s="19"/>
    </row>
    <row r="332" spans="1:9">
      <c r="A332" s="19"/>
      <c r="I332" s="19"/>
    </row>
    <row r="333" spans="1:9">
      <c r="A333" s="19"/>
      <c r="I333" s="19"/>
    </row>
    <row r="334" spans="1:9">
      <c r="A334" s="19"/>
      <c r="I334" s="19"/>
    </row>
    <row r="335" spans="1:9">
      <c r="A335" s="19"/>
      <c r="I335" s="19"/>
    </row>
    <row r="336" spans="1:9">
      <c r="A336" s="19"/>
      <c r="I336" s="19"/>
    </row>
    <row r="337" spans="1:9">
      <c r="A337" s="19"/>
      <c r="I337" s="19"/>
    </row>
    <row r="338" spans="1:9">
      <c r="A338" s="19"/>
      <c r="I338" s="19"/>
    </row>
    <row r="339" spans="1:9">
      <c r="A339" s="19"/>
      <c r="I339" s="19"/>
    </row>
    <row r="340" spans="1:9">
      <c r="A340" s="19"/>
      <c r="I340" s="19"/>
    </row>
    <row r="341" spans="1:9">
      <c r="A341" s="19"/>
      <c r="I341" s="19"/>
    </row>
    <row r="342" spans="1:9">
      <c r="A342" s="19"/>
      <c r="I342" s="19"/>
    </row>
    <row r="343" spans="1:9">
      <c r="A343" s="19"/>
      <c r="I343" s="19"/>
    </row>
    <row r="344" spans="1:9">
      <c r="A344" s="19"/>
      <c r="I344" s="19"/>
    </row>
    <row r="345" spans="1:9">
      <c r="A345" s="19"/>
      <c r="I345" s="19"/>
    </row>
    <row r="346" spans="1:9">
      <c r="A346" s="19"/>
      <c r="I346" s="19"/>
    </row>
    <row r="347" spans="1:9">
      <c r="A347" s="19"/>
      <c r="I347" s="19"/>
    </row>
    <row r="348" spans="1:9">
      <c r="A348" s="19"/>
      <c r="I348" s="19"/>
    </row>
    <row r="349" spans="1:9">
      <c r="A349" s="19"/>
      <c r="I349" s="19"/>
    </row>
    <row r="350" spans="1:9">
      <c r="A350" s="19"/>
      <c r="I350" s="19"/>
    </row>
    <row r="351" spans="1:9">
      <c r="A351" s="19"/>
      <c r="I351" s="19"/>
    </row>
    <row r="352" spans="1:9">
      <c r="A352" s="19"/>
      <c r="I352" s="19"/>
    </row>
    <row r="353" spans="1:9">
      <c r="A353" s="19"/>
      <c r="I353" s="19"/>
    </row>
    <row r="354" spans="1:9">
      <c r="A354" s="19"/>
      <c r="I354" s="19"/>
    </row>
    <row r="355" spans="1:9">
      <c r="A355" s="19"/>
      <c r="I355" s="19"/>
    </row>
    <row r="356" spans="1:9">
      <c r="A356" s="19"/>
      <c r="I356" s="19"/>
    </row>
    <row r="357" spans="1:9">
      <c r="A357" s="19"/>
      <c r="I357" s="19"/>
    </row>
    <row r="358" spans="1:9">
      <c r="A358" s="19"/>
      <c r="I358" s="19"/>
    </row>
    <row r="359" spans="1:9">
      <c r="A359" s="19"/>
      <c r="I359" s="19"/>
    </row>
    <row r="360" spans="1:9">
      <c r="A360" s="19"/>
      <c r="I360" s="19"/>
    </row>
    <row r="361" spans="1:9">
      <c r="A361" s="19"/>
      <c r="I361" s="19"/>
    </row>
    <row r="362" spans="1:9">
      <c r="A362" s="19"/>
      <c r="I362" s="19"/>
    </row>
    <row r="363" spans="1:9">
      <c r="A363" s="19"/>
      <c r="I363" s="19"/>
    </row>
    <row r="364" spans="1:9">
      <c r="A364" s="19"/>
      <c r="I364" s="19"/>
    </row>
    <row r="365" spans="1:9">
      <c r="A365" s="19"/>
      <c r="I365" s="19"/>
    </row>
    <row r="366" spans="1:9">
      <c r="A366" s="19"/>
      <c r="I366" s="19"/>
    </row>
    <row r="367" spans="1:9">
      <c r="A367" s="19"/>
      <c r="I367" s="19"/>
    </row>
    <row r="368" spans="1:9">
      <c r="A368" s="19"/>
      <c r="I368" s="19"/>
    </row>
    <row r="369" spans="1:9">
      <c r="A369" s="19"/>
      <c r="I369" s="19"/>
    </row>
    <row r="370" spans="1:9">
      <c r="A370" s="19"/>
      <c r="I370" s="19"/>
    </row>
    <row r="371" spans="1:9">
      <c r="A371" s="19"/>
      <c r="I371" s="19"/>
    </row>
    <row r="372" spans="1:9">
      <c r="A372" s="19"/>
      <c r="I372" s="19"/>
    </row>
    <row r="373" spans="1:9">
      <c r="A373" s="19"/>
      <c r="I373" s="19"/>
    </row>
    <row r="374" spans="1:9">
      <c r="A374" s="19"/>
      <c r="I374" s="19"/>
    </row>
    <row r="375" spans="1:9">
      <c r="A375" s="19"/>
      <c r="I375" s="19"/>
    </row>
    <row r="376" spans="1:9">
      <c r="A376" s="19"/>
      <c r="I376" s="19"/>
    </row>
    <row r="377" spans="1:9">
      <c r="A377" s="19"/>
      <c r="I377" s="19"/>
    </row>
    <row r="378" spans="1:9">
      <c r="A378" s="19"/>
      <c r="I378" s="19"/>
    </row>
    <row r="379" spans="1:9">
      <c r="A379" s="19"/>
      <c r="I379" s="19"/>
    </row>
    <row r="380" spans="1:9">
      <c r="A380" s="19"/>
      <c r="I380" s="19"/>
    </row>
    <row r="381" spans="1:9">
      <c r="A381" s="19"/>
      <c r="I381" s="19"/>
    </row>
    <row r="382" spans="1:9">
      <c r="A382" s="19"/>
      <c r="I382" s="19"/>
    </row>
    <row r="383" spans="1:9">
      <c r="A383" s="19"/>
      <c r="I383" s="19"/>
    </row>
    <row r="384" spans="1:9">
      <c r="A384" s="19"/>
      <c r="I384" s="19"/>
    </row>
    <row r="385" spans="1:9">
      <c r="A385" s="19"/>
      <c r="I385" s="19"/>
    </row>
    <row r="386" spans="1:9">
      <c r="A386" s="19"/>
      <c r="I386" s="19"/>
    </row>
    <row r="387" spans="1:9">
      <c r="A387" s="19"/>
      <c r="I387" s="19"/>
    </row>
    <row r="388" spans="1:9">
      <c r="A388" s="19"/>
      <c r="I388" s="19"/>
    </row>
    <row r="389" spans="1:9">
      <c r="A389" s="19"/>
      <c r="I389" s="19"/>
    </row>
    <row r="390" spans="1:9">
      <c r="A390" s="19"/>
      <c r="I390" s="19"/>
    </row>
    <row r="391" spans="1:9">
      <c r="A391" s="19"/>
      <c r="I391" s="19"/>
    </row>
    <row r="392" spans="1:9">
      <c r="A392" s="19"/>
      <c r="I392" s="19"/>
    </row>
    <row r="393" spans="1:9">
      <c r="A393" s="19"/>
      <c r="I393" s="19"/>
    </row>
    <row r="394" spans="1:9">
      <c r="A394" s="19"/>
      <c r="I394" s="19"/>
    </row>
    <row r="395" spans="1:9">
      <c r="A395" s="19"/>
      <c r="I395" s="19"/>
    </row>
    <row r="396" spans="1:9">
      <c r="A396" s="19"/>
      <c r="I396" s="19"/>
    </row>
    <row r="397" spans="1:9">
      <c r="A397" s="19"/>
      <c r="I397" s="19"/>
    </row>
    <row r="398" spans="1:9">
      <c r="A398" s="19"/>
      <c r="I398" s="19"/>
    </row>
    <row r="399" spans="1:9">
      <c r="A399" s="19"/>
      <c r="I399" s="19"/>
    </row>
    <row r="400" spans="1:9">
      <c r="A400" s="19"/>
      <c r="I400" s="19"/>
    </row>
    <row r="401" spans="1:9">
      <c r="A401" s="19"/>
      <c r="I401" s="19"/>
    </row>
    <row r="402" spans="1:9">
      <c r="A402" s="19"/>
      <c r="I402" s="19"/>
    </row>
    <row r="403" spans="1:9">
      <c r="A403" s="19"/>
      <c r="I403" s="19"/>
    </row>
    <row r="404" spans="1:9">
      <c r="A404" s="19"/>
      <c r="I404" s="19"/>
    </row>
    <row r="405" spans="1:9">
      <c r="A405" s="19"/>
      <c r="I405" s="19"/>
    </row>
    <row r="406" spans="1:9">
      <c r="A406" s="19"/>
      <c r="I406" s="19"/>
    </row>
    <row r="407" spans="1:9">
      <c r="A407" s="19"/>
      <c r="I407" s="19"/>
    </row>
    <row r="408" spans="1:9">
      <c r="A408" s="19"/>
      <c r="I408" s="19"/>
    </row>
    <row r="409" spans="1:9">
      <c r="A409" s="19"/>
      <c r="I409" s="19"/>
    </row>
    <row r="410" spans="1:9">
      <c r="A410" s="19"/>
      <c r="I410" s="19"/>
    </row>
    <row r="411" spans="1:9">
      <c r="A411" s="19"/>
      <c r="I411" s="19"/>
    </row>
    <row r="412" spans="1:9">
      <c r="A412" s="19"/>
      <c r="I412" s="19"/>
    </row>
    <row r="413" spans="1:9">
      <c r="A413" s="19"/>
      <c r="I413" s="19"/>
    </row>
    <row r="414" spans="1:9">
      <c r="A414" s="19"/>
      <c r="I414" s="19"/>
    </row>
    <row r="415" spans="1:9">
      <c r="A415" s="19"/>
      <c r="I415" s="19"/>
    </row>
    <row r="416" spans="1:9">
      <c r="A416" s="19"/>
      <c r="I416" s="19"/>
    </row>
    <row r="417" spans="1:9">
      <c r="A417" s="19"/>
      <c r="I417" s="19"/>
    </row>
    <row r="418" spans="1:9">
      <c r="A418" s="19"/>
      <c r="I418" s="19"/>
    </row>
    <row r="419" spans="1:9">
      <c r="A419" s="19"/>
      <c r="I419" s="19"/>
    </row>
    <row r="420" spans="1:9">
      <c r="A420" s="19"/>
      <c r="I420" s="19"/>
    </row>
    <row r="421" spans="1:9">
      <c r="A421" s="19"/>
      <c r="I421" s="19"/>
    </row>
    <row r="422" spans="1:9">
      <c r="A422" s="19"/>
      <c r="I422" s="19"/>
    </row>
    <row r="423" spans="1:9">
      <c r="A423" s="19"/>
      <c r="I423" s="19"/>
    </row>
    <row r="424" spans="1:9">
      <c r="A424" s="19"/>
      <c r="I424" s="19"/>
    </row>
    <row r="425" spans="1:9">
      <c r="A425" s="19"/>
      <c r="I425" s="19"/>
    </row>
    <row r="426" spans="1:9">
      <c r="A426" s="19"/>
      <c r="I426" s="19"/>
    </row>
    <row r="427" spans="1:9">
      <c r="A427" s="19"/>
      <c r="I427" s="19"/>
    </row>
    <row r="428" spans="1:9">
      <c r="A428" s="19"/>
      <c r="I428" s="19"/>
    </row>
    <row r="429" spans="1:9">
      <c r="A429" s="19"/>
      <c r="I429" s="19"/>
    </row>
    <row r="430" spans="1:9">
      <c r="A430" s="19"/>
      <c r="I430" s="19"/>
    </row>
    <row r="431" spans="1:9">
      <c r="A431" s="19"/>
      <c r="I431" s="19"/>
    </row>
    <row r="432" spans="1:9">
      <c r="A432" s="19"/>
      <c r="I432" s="19"/>
    </row>
    <row r="433" spans="1:9">
      <c r="A433" s="19"/>
      <c r="I433" s="19"/>
    </row>
    <row r="434" spans="1:9">
      <c r="A434" s="19"/>
      <c r="I434" s="19"/>
    </row>
    <row r="435" spans="1:9">
      <c r="A435" s="19"/>
      <c r="I435" s="19"/>
    </row>
    <row r="436" spans="1:9">
      <c r="A436" s="19"/>
      <c r="I436" s="19"/>
    </row>
    <row r="437" spans="1:9">
      <c r="A437" s="19"/>
      <c r="I437" s="19"/>
    </row>
    <row r="438" spans="1:9">
      <c r="A438" s="19"/>
      <c r="I438" s="19"/>
    </row>
    <row r="439" spans="1:9">
      <c r="A439" s="19"/>
      <c r="I439" s="19"/>
    </row>
    <row r="440" spans="1:9">
      <c r="A440" s="19"/>
      <c r="I440" s="19"/>
    </row>
    <row r="441" spans="1:9">
      <c r="A441" s="19"/>
      <c r="I441" s="19"/>
    </row>
    <row r="442" spans="1:9">
      <c r="A442" s="19"/>
      <c r="I442" s="19"/>
    </row>
    <row r="443" spans="1:9">
      <c r="A443" s="19"/>
      <c r="I443" s="19"/>
    </row>
    <row r="444" spans="1:9">
      <c r="A444" s="19"/>
      <c r="I444" s="19"/>
    </row>
    <row r="445" spans="1:9">
      <c r="A445" s="19"/>
      <c r="I445" s="19"/>
    </row>
    <row r="446" spans="1:9">
      <c r="A446" s="19"/>
      <c r="I446" s="19"/>
    </row>
    <row r="447" spans="1:9">
      <c r="A447" s="19"/>
      <c r="I447" s="19"/>
    </row>
    <row r="448" spans="1:9">
      <c r="A448" s="19"/>
      <c r="I448" s="19"/>
    </row>
    <row r="449" spans="1:9">
      <c r="A449" s="19"/>
      <c r="I449" s="19"/>
    </row>
    <row r="450" spans="1:9">
      <c r="A450" s="19"/>
      <c r="I450" s="19"/>
    </row>
    <row r="451" spans="1:9">
      <c r="A451" s="19"/>
      <c r="I451" s="19"/>
    </row>
    <row r="452" spans="1:9">
      <c r="A452" s="19"/>
      <c r="I452" s="19"/>
    </row>
    <row r="453" spans="1:9">
      <c r="A453" s="19"/>
      <c r="I453" s="19"/>
    </row>
    <row r="454" spans="1:9">
      <c r="A454" s="19"/>
      <c r="I454" s="19"/>
    </row>
    <row r="455" spans="1:9">
      <c r="A455" s="19"/>
      <c r="I455" s="19"/>
    </row>
    <row r="456" spans="1:9">
      <c r="A456" s="19"/>
      <c r="I456" s="19"/>
    </row>
    <row r="457" spans="1:9">
      <c r="A457" s="19"/>
      <c r="I457" s="19"/>
    </row>
    <row r="458" spans="1:9">
      <c r="A458" s="19"/>
      <c r="I458" s="19"/>
    </row>
    <row r="459" spans="1:9">
      <c r="A459" s="19"/>
      <c r="I459" s="19"/>
    </row>
    <row r="460" spans="1:9">
      <c r="A460" s="19"/>
      <c r="I460" s="19"/>
    </row>
    <row r="461" spans="1:9">
      <c r="A461" s="19"/>
      <c r="I461" s="19"/>
    </row>
    <row r="462" spans="1:9">
      <c r="A462" s="19"/>
      <c r="I462" s="19"/>
    </row>
    <row r="463" spans="1:9">
      <c r="A463" s="19"/>
      <c r="I463" s="19"/>
    </row>
    <row r="464" spans="1:9">
      <c r="A464" s="19"/>
      <c r="I464" s="19"/>
    </row>
    <row r="465" spans="1:9">
      <c r="A465" s="19"/>
      <c r="I465" s="19"/>
    </row>
    <row r="466" spans="1:9">
      <c r="A466" s="19"/>
      <c r="I466" s="19"/>
    </row>
    <row r="467" spans="1:9">
      <c r="A467" s="19"/>
      <c r="I467" s="19"/>
    </row>
    <row r="468" spans="1:9">
      <c r="A468" s="19"/>
      <c r="I468" s="19"/>
    </row>
    <row r="469" spans="1:9">
      <c r="A469" s="19"/>
      <c r="I469" s="19"/>
    </row>
    <row r="470" spans="1:9">
      <c r="A470" s="19"/>
      <c r="I470" s="19"/>
    </row>
    <row r="471" spans="1:9">
      <c r="A471" s="19"/>
      <c r="I471" s="19"/>
    </row>
    <row r="472" spans="1:9">
      <c r="A472" s="19"/>
      <c r="I472" s="19"/>
    </row>
    <row r="473" spans="1:9">
      <c r="A473" s="19"/>
      <c r="I473" s="19"/>
    </row>
    <row r="474" spans="1:9">
      <c r="A474" s="19"/>
      <c r="I474" s="19"/>
    </row>
    <row r="475" spans="1:9">
      <c r="A475" s="19"/>
      <c r="I475" s="19"/>
    </row>
    <row r="476" spans="1:9">
      <c r="A476" s="19"/>
      <c r="I476" s="19"/>
    </row>
    <row r="477" spans="1:9">
      <c r="A477" s="19"/>
      <c r="I477" s="19"/>
    </row>
    <row r="478" spans="1:9">
      <c r="A478" s="19"/>
      <c r="I478" s="19"/>
    </row>
    <row r="479" spans="1:9">
      <c r="A479" s="19"/>
      <c r="I479" s="19"/>
    </row>
    <row r="480" spans="1:9">
      <c r="A480" s="19"/>
      <c r="I480" s="19"/>
    </row>
    <row r="481" spans="1:9">
      <c r="A481" s="19"/>
      <c r="I481" s="19"/>
    </row>
    <row r="482" spans="1:9">
      <c r="A482" s="19"/>
      <c r="I482" s="19"/>
    </row>
    <row r="483" spans="1:9">
      <c r="A483" s="19"/>
      <c r="I483" s="19"/>
    </row>
    <row r="484" spans="1:9">
      <c r="A484" s="19"/>
      <c r="I484" s="19"/>
    </row>
    <row r="485" spans="1:9">
      <c r="A485" s="19"/>
      <c r="I485" s="19"/>
    </row>
    <row r="486" spans="1:9">
      <c r="A486" s="19"/>
      <c r="I486" s="19"/>
    </row>
    <row r="487" spans="1:9">
      <c r="A487" s="19"/>
      <c r="I487" s="19"/>
    </row>
    <row r="488" spans="1:9">
      <c r="A488" s="19"/>
      <c r="I488" s="19"/>
    </row>
    <row r="489" spans="1:9">
      <c r="A489" s="19"/>
      <c r="I489" s="19"/>
    </row>
    <row r="490" spans="1:9">
      <c r="A490" s="19"/>
      <c r="I490" s="19"/>
    </row>
    <row r="491" spans="1:9">
      <c r="A491" s="19"/>
      <c r="I491" s="19"/>
    </row>
    <row r="492" spans="1:9">
      <c r="A492" s="19"/>
      <c r="I492" s="19"/>
    </row>
    <row r="493" spans="1:9">
      <c r="A493" s="19"/>
      <c r="I493" s="19"/>
    </row>
    <row r="494" spans="1:9">
      <c r="A494" s="19"/>
      <c r="I494" s="19"/>
    </row>
    <row r="495" spans="1:9">
      <c r="A495" s="19"/>
      <c r="I495" s="19"/>
    </row>
    <row r="496" spans="1:9">
      <c r="A496" s="19"/>
      <c r="I496" s="19"/>
    </row>
    <row r="497" spans="1:9">
      <c r="A497" s="19"/>
      <c r="I497" s="19"/>
    </row>
    <row r="498" spans="1:9">
      <c r="A498" s="19"/>
      <c r="I498" s="19"/>
    </row>
    <row r="499" spans="1:9">
      <c r="A499" s="19"/>
      <c r="I499" s="19"/>
    </row>
    <row r="500" spans="1:9">
      <c r="A500" s="19"/>
      <c r="I500" s="19"/>
    </row>
    <row r="501" spans="1:9">
      <c r="A501" s="19"/>
      <c r="I501" s="19"/>
    </row>
    <row r="502" spans="1:9">
      <c r="A502" s="19"/>
      <c r="I502" s="19"/>
    </row>
    <row r="503" spans="1:9">
      <c r="A503" s="19"/>
      <c r="I503" s="19"/>
    </row>
    <row r="504" spans="1:9">
      <c r="A504" s="19"/>
      <c r="I504" s="19"/>
    </row>
    <row r="505" spans="1:9">
      <c r="A505" s="19"/>
      <c r="I505" s="19"/>
    </row>
    <row r="506" spans="1:9">
      <c r="A506" s="19"/>
      <c r="I506" s="19"/>
    </row>
    <row r="507" spans="1:9">
      <c r="A507" s="19"/>
      <c r="I507" s="19"/>
    </row>
    <row r="508" spans="1:9">
      <c r="A508" s="19"/>
      <c r="I508" s="19"/>
    </row>
    <row r="509" spans="1:9">
      <c r="A509" s="19"/>
      <c r="I509" s="19"/>
    </row>
    <row r="510" spans="1:9">
      <c r="A510" s="19"/>
      <c r="I510" s="19"/>
    </row>
    <row r="511" spans="1:9">
      <c r="A511" s="19"/>
      <c r="I511" s="19"/>
    </row>
    <row r="512" spans="1:9">
      <c r="A512" s="19"/>
      <c r="I512" s="19"/>
    </row>
    <row r="513" spans="1:9">
      <c r="A513" s="19"/>
      <c r="I513" s="19"/>
    </row>
    <row r="514" spans="1:9">
      <c r="A514" s="19"/>
      <c r="I514" s="19"/>
    </row>
    <row r="515" spans="1:9">
      <c r="A515" s="19"/>
      <c r="I515" s="19"/>
    </row>
    <row r="516" spans="1:9">
      <c r="A516" s="19"/>
      <c r="I516" s="19"/>
    </row>
    <row r="517" spans="1:9">
      <c r="A517" s="19"/>
      <c r="I517" s="19"/>
    </row>
    <row r="518" spans="1:9">
      <c r="A518" s="19"/>
      <c r="I518" s="19"/>
    </row>
    <row r="519" spans="1:9">
      <c r="A519" s="19"/>
      <c r="I519" s="19"/>
    </row>
    <row r="520" spans="1:9">
      <c r="A520" s="19"/>
      <c r="I520" s="19"/>
    </row>
    <row r="521" spans="1:9">
      <c r="A521" s="19"/>
      <c r="I521" s="19"/>
    </row>
    <row r="522" spans="1:9">
      <c r="A522" s="19"/>
      <c r="I522" s="19"/>
    </row>
    <row r="523" spans="1:9">
      <c r="A523" s="19"/>
      <c r="I523" s="19"/>
    </row>
    <row r="524" spans="1:9">
      <c r="A524" s="19"/>
      <c r="I524" s="19"/>
    </row>
    <row r="525" spans="1:9">
      <c r="A525" s="19"/>
      <c r="I525" s="19"/>
    </row>
    <row r="526" spans="1:9">
      <c r="A526" s="19"/>
      <c r="I526" s="19"/>
    </row>
    <row r="527" spans="1:9">
      <c r="A527" s="19"/>
      <c r="I527" s="19"/>
    </row>
    <row r="528" spans="1:9">
      <c r="A528" s="19"/>
      <c r="I528" s="19"/>
    </row>
    <row r="529" spans="1:9">
      <c r="A529" s="19"/>
      <c r="I529" s="19"/>
    </row>
    <row r="530" spans="1:9">
      <c r="A530" s="19"/>
      <c r="I530" s="19"/>
    </row>
    <row r="531" spans="1:9">
      <c r="A531" s="19"/>
      <c r="I531" s="19"/>
    </row>
    <row r="532" spans="1:9">
      <c r="A532" s="19"/>
      <c r="I532" s="19"/>
    </row>
    <row r="533" spans="1:9">
      <c r="A533" s="19"/>
      <c r="I533" s="19"/>
    </row>
    <row r="534" spans="1:9">
      <c r="A534" s="19"/>
      <c r="I534" s="19"/>
    </row>
    <row r="535" spans="1:9">
      <c r="A535" s="19"/>
      <c r="I535" s="19"/>
    </row>
    <row r="536" spans="1:9">
      <c r="A536" s="19"/>
      <c r="I536" s="19"/>
    </row>
    <row r="537" spans="1:9">
      <c r="A537" s="19"/>
      <c r="I537" s="19"/>
    </row>
    <row r="538" spans="1:9">
      <c r="A538" s="19"/>
      <c r="I538" s="19"/>
    </row>
    <row r="539" spans="1:9">
      <c r="A539" s="19"/>
      <c r="I539" s="19"/>
    </row>
    <row r="540" spans="1:9">
      <c r="A540" s="19"/>
      <c r="I540" s="19"/>
    </row>
    <row r="541" spans="1:9">
      <c r="A541" s="19"/>
      <c r="I541" s="19"/>
    </row>
    <row r="542" spans="1:9">
      <c r="A542" s="19"/>
      <c r="I542" s="19"/>
    </row>
    <row r="543" spans="1:9">
      <c r="A543" s="19"/>
      <c r="I543" s="19"/>
    </row>
    <row r="544" spans="1:9">
      <c r="A544" s="19"/>
      <c r="I544" s="19"/>
    </row>
    <row r="545" spans="1:9">
      <c r="A545" s="19"/>
      <c r="I545" s="19"/>
    </row>
    <row r="546" spans="1:9">
      <c r="A546" s="19"/>
      <c r="I546" s="19"/>
    </row>
    <row r="547" spans="1:9">
      <c r="A547" s="19"/>
      <c r="I547" s="19"/>
    </row>
    <row r="548" spans="1:9">
      <c r="A548" s="19"/>
      <c r="I548" s="19"/>
    </row>
    <row r="549" spans="1:9">
      <c r="A549" s="19"/>
      <c r="I549" s="19"/>
    </row>
    <row r="550" spans="1:9">
      <c r="A550" s="19"/>
      <c r="I550" s="19"/>
    </row>
    <row r="551" spans="1:9">
      <c r="A551" s="19"/>
      <c r="I551" s="19"/>
    </row>
    <row r="552" spans="1:9">
      <c r="A552" s="19"/>
      <c r="I552" s="19"/>
    </row>
    <row r="553" spans="1:9">
      <c r="A553" s="19"/>
      <c r="I553" s="19"/>
    </row>
    <row r="554" spans="1:9">
      <c r="A554" s="19"/>
      <c r="I554" s="19"/>
    </row>
    <row r="555" spans="1:9">
      <c r="A555" s="19"/>
      <c r="I555" s="19"/>
    </row>
    <row r="556" spans="1:9">
      <c r="A556" s="19"/>
      <c r="I556" s="19"/>
    </row>
    <row r="557" spans="1:9">
      <c r="A557" s="19"/>
      <c r="I557" s="19"/>
    </row>
    <row r="558" spans="1:9">
      <c r="A558" s="19"/>
      <c r="I558" s="19"/>
    </row>
    <row r="559" spans="1:9">
      <c r="A559" s="19"/>
      <c r="I559" s="19"/>
    </row>
    <row r="560" spans="1:9">
      <c r="A560" s="19"/>
      <c r="I560" s="19"/>
    </row>
    <row r="561" spans="1:9">
      <c r="A561" s="19"/>
      <c r="I561" s="19"/>
    </row>
    <row r="562" spans="1:9">
      <c r="A562" s="19"/>
      <c r="I562" s="19"/>
    </row>
    <row r="563" spans="1:9">
      <c r="A563" s="19"/>
      <c r="I563" s="19"/>
    </row>
    <row r="564" spans="1:9">
      <c r="A564" s="19"/>
      <c r="I564" s="19"/>
    </row>
    <row r="565" spans="1:9">
      <c r="A565" s="19"/>
      <c r="I565" s="19"/>
    </row>
    <row r="566" spans="1:9">
      <c r="A566" s="19"/>
      <c r="I566" s="19"/>
    </row>
    <row r="567" spans="1:9">
      <c r="A567" s="19"/>
      <c r="I567" s="19"/>
    </row>
    <row r="568" spans="1:9">
      <c r="A568" s="19"/>
      <c r="I568" s="19"/>
    </row>
    <row r="569" spans="1:9">
      <c r="A569" s="19"/>
      <c r="I569" s="19"/>
    </row>
    <row r="570" spans="1:9">
      <c r="A570" s="19"/>
      <c r="I570" s="19"/>
    </row>
    <row r="571" spans="1:9">
      <c r="A571" s="19"/>
      <c r="I571" s="19"/>
    </row>
    <row r="572" spans="1:9">
      <c r="A572" s="19"/>
      <c r="I572" s="19"/>
    </row>
    <row r="573" spans="1:9">
      <c r="A573" s="19"/>
      <c r="I573" s="19"/>
    </row>
    <row r="574" spans="1:9">
      <c r="A574" s="19"/>
      <c r="I574" s="19"/>
    </row>
    <row r="575" spans="1:9">
      <c r="A575" s="19"/>
      <c r="I575" s="19"/>
    </row>
    <row r="576" spans="1:9">
      <c r="A576" s="19"/>
      <c r="I576" s="19"/>
    </row>
    <row r="577" spans="1:9">
      <c r="A577" s="19"/>
      <c r="I577" s="19"/>
    </row>
    <row r="578" spans="1:9">
      <c r="A578" s="19"/>
      <c r="I578" s="19"/>
    </row>
    <row r="579" spans="1:9">
      <c r="A579" s="19"/>
      <c r="I579" s="19"/>
    </row>
    <row r="580" spans="1:9">
      <c r="A580" s="19"/>
      <c r="I580" s="19"/>
    </row>
    <row r="581" spans="1:9">
      <c r="A581" s="19"/>
      <c r="I581" s="19"/>
    </row>
    <row r="582" spans="1:9">
      <c r="A582" s="19"/>
      <c r="I582" s="19"/>
    </row>
    <row r="583" spans="1:9">
      <c r="A583" s="19"/>
      <c r="I583" s="19"/>
    </row>
    <row r="584" spans="1:9">
      <c r="A584" s="19"/>
      <c r="I584" s="19"/>
    </row>
    <row r="585" spans="1:9">
      <c r="A585" s="19"/>
      <c r="I585" s="19"/>
    </row>
    <row r="586" spans="1:9">
      <c r="A586" s="19"/>
      <c r="I586" s="19"/>
    </row>
    <row r="587" spans="1:9">
      <c r="A587" s="19"/>
      <c r="I587" s="19"/>
    </row>
    <row r="588" spans="1:9">
      <c r="A588" s="19"/>
      <c r="I588" s="19"/>
    </row>
    <row r="589" spans="1:9">
      <c r="A589" s="19"/>
      <c r="I589" s="19"/>
    </row>
    <row r="590" spans="1:9">
      <c r="A590" s="19"/>
      <c r="I590" s="19"/>
    </row>
    <row r="591" spans="1:9">
      <c r="A591" s="19"/>
      <c r="I591" s="19"/>
    </row>
    <row r="592" spans="1:9">
      <c r="A592" s="19"/>
      <c r="I592" s="19"/>
    </row>
    <row r="593" spans="1:9">
      <c r="A593" s="19"/>
      <c r="I593" s="19"/>
    </row>
    <row r="594" spans="1:9">
      <c r="A594" s="19"/>
      <c r="I594" s="19"/>
    </row>
    <row r="595" spans="1:9">
      <c r="A595" s="19"/>
      <c r="I595" s="19"/>
    </row>
    <row r="596" spans="1:9">
      <c r="A596" s="19"/>
      <c r="I596" s="19"/>
    </row>
    <row r="597" spans="1:9">
      <c r="A597" s="19"/>
      <c r="I597" s="19"/>
    </row>
    <row r="598" spans="1:9">
      <c r="A598" s="19"/>
      <c r="I598" s="19"/>
    </row>
    <row r="599" spans="1:9">
      <c r="A599" s="19"/>
      <c r="I599" s="19"/>
    </row>
    <row r="600" spans="1:9">
      <c r="A600" s="19"/>
      <c r="I600" s="19"/>
    </row>
    <row r="601" spans="1:9">
      <c r="A601" s="19"/>
      <c r="I601" s="19"/>
    </row>
    <row r="602" spans="1:9">
      <c r="A602" s="19"/>
      <c r="I602" s="19"/>
    </row>
    <row r="603" spans="1:9">
      <c r="A603" s="19"/>
      <c r="I603" s="19"/>
    </row>
    <row r="604" spans="1:9">
      <c r="A604" s="19"/>
      <c r="I604" s="19"/>
    </row>
    <row r="605" spans="1:9">
      <c r="A605" s="19"/>
      <c r="I605" s="19"/>
    </row>
    <row r="606" spans="1:9">
      <c r="A606" s="19"/>
      <c r="I606" s="19"/>
    </row>
    <row r="607" spans="1:9">
      <c r="A607" s="19"/>
      <c r="I607" s="19"/>
    </row>
    <row r="608" spans="1:9">
      <c r="A608" s="19"/>
      <c r="I608" s="19"/>
    </row>
    <row r="609" spans="1:9">
      <c r="A609" s="19"/>
      <c r="I609" s="19"/>
    </row>
    <row r="610" spans="1:9">
      <c r="A610" s="19"/>
      <c r="I610" s="19"/>
    </row>
    <row r="611" spans="1:9">
      <c r="A611" s="19"/>
      <c r="I611" s="19"/>
    </row>
    <row r="612" spans="1:9">
      <c r="A612" s="19"/>
      <c r="I612" s="19"/>
    </row>
    <row r="613" spans="1:9">
      <c r="A613" s="19"/>
      <c r="I613" s="19"/>
    </row>
    <row r="614" spans="1:9">
      <c r="A614" s="19"/>
      <c r="I614" s="19"/>
    </row>
    <row r="615" spans="1:9">
      <c r="A615" s="19"/>
      <c r="I615" s="19"/>
    </row>
    <row r="616" spans="1:9">
      <c r="A616" s="19"/>
      <c r="I616" s="19"/>
    </row>
    <row r="617" spans="1:9">
      <c r="A617" s="19"/>
      <c r="I617" s="19"/>
    </row>
    <row r="618" spans="1:9">
      <c r="A618" s="19"/>
      <c r="I618" s="19"/>
    </row>
    <row r="619" spans="1:9">
      <c r="A619" s="19"/>
      <c r="I619" s="19"/>
    </row>
    <row r="620" spans="1:9">
      <c r="A620" s="19"/>
      <c r="I620" s="19"/>
    </row>
    <row r="621" spans="1:9">
      <c r="A621" s="19"/>
      <c r="I621" s="19"/>
    </row>
    <row r="622" spans="1:9">
      <c r="A622" s="19"/>
      <c r="I622" s="19"/>
    </row>
    <row r="623" spans="1:9">
      <c r="A623" s="19"/>
      <c r="I623" s="19"/>
    </row>
    <row r="624" spans="1:9">
      <c r="A624" s="19"/>
      <c r="I624" s="19"/>
    </row>
    <row r="625" spans="1:9">
      <c r="A625" s="19"/>
      <c r="I625" s="19"/>
    </row>
    <row r="626" spans="1:9">
      <c r="A626" s="19"/>
      <c r="I626" s="19"/>
    </row>
    <row r="627" spans="1:9">
      <c r="A627" s="19"/>
      <c r="I627" s="19"/>
    </row>
    <row r="628" spans="1:9">
      <c r="A628" s="19"/>
      <c r="I628" s="19"/>
    </row>
    <row r="629" spans="1:9">
      <c r="A629" s="19"/>
      <c r="I629" s="19"/>
    </row>
    <row r="630" spans="1:9">
      <c r="A630" s="19"/>
      <c r="I630" s="19"/>
    </row>
    <row r="631" spans="1:9">
      <c r="A631" s="19"/>
      <c r="I631" s="19"/>
    </row>
    <row r="632" spans="1:9">
      <c r="A632" s="19"/>
      <c r="I632" s="19"/>
    </row>
    <row r="633" spans="1:9">
      <c r="A633" s="19"/>
      <c r="I633" s="19"/>
    </row>
    <row r="634" spans="1:9">
      <c r="A634" s="19"/>
      <c r="I634" s="19"/>
    </row>
    <row r="635" spans="1:9">
      <c r="A635" s="19"/>
      <c r="I635" s="19"/>
    </row>
    <row r="636" spans="1:9">
      <c r="A636" s="19"/>
      <c r="I636" s="19"/>
    </row>
    <row r="637" spans="1:9">
      <c r="A637" s="19"/>
      <c r="I637" s="19"/>
    </row>
    <row r="638" spans="1:9">
      <c r="A638" s="19"/>
      <c r="I638" s="19"/>
    </row>
    <row r="639" spans="1:9">
      <c r="A639" s="19"/>
      <c r="I639" s="19"/>
    </row>
    <row r="640" spans="1:9">
      <c r="A640" s="19"/>
      <c r="I640" s="19"/>
    </row>
    <row r="641" spans="1:9">
      <c r="A641" s="19"/>
      <c r="I641" s="19"/>
    </row>
    <row r="642" spans="1:9">
      <c r="A642" s="19"/>
      <c r="I642" s="19"/>
    </row>
    <row r="643" spans="1:9">
      <c r="A643" s="19"/>
      <c r="I643" s="19"/>
    </row>
    <row r="644" spans="1:9">
      <c r="A644" s="19"/>
      <c r="I644" s="19"/>
    </row>
    <row r="645" spans="1:9">
      <c r="A645" s="19"/>
      <c r="I645" s="19"/>
    </row>
    <row r="646" spans="1:9">
      <c r="A646" s="19"/>
      <c r="I646" s="19"/>
    </row>
    <row r="647" spans="1:9">
      <c r="A647" s="19"/>
      <c r="I647" s="19"/>
    </row>
    <row r="648" spans="1:9">
      <c r="A648" s="19"/>
      <c r="I648" s="19"/>
    </row>
    <row r="649" spans="1:9">
      <c r="A649" s="19"/>
      <c r="I649" s="19"/>
    </row>
    <row r="650" spans="1:9">
      <c r="A650" s="19"/>
      <c r="I650" s="19"/>
    </row>
    <row r="651" spans="1:9">
      <c r="A651" s="19"/>
      <c r="I651" s="19"/>
    </row>
    <row r="652" spans="1:9">
      <c r="A652" s="19"/>
      <c r="I652" s="19"/>
    </row>
    <row r="653" spans="1:9">
      <c r="A653" s="19"/>
      <c r="I653" s="19"/>
    </row>
    <row r="654" spans="1:9">
      <c r="A654" s="19"/>
      <c r="I654" s="19"/>
    </row>
    <row r="655" spans="1:9">
      <c r="A655" s="19"/>
      <c r="I655" s="19"/>
    </row>
    <row r="656" spans="1:9">
      <c r="A656" s="19"/>
      <c r="I656" s="19"/>
    </row>
    <row r="657" spans="1:9">
      <c r="A657" s="19"/>
      <c r="I657" s="19"/>
    </row>
    <row r="658" spans="1:9">
      <c r="A658" s="19"/>
      <c r="I658" s="19"/>
    </row>
    <row r="659" spans="1:9">
      <c r="A659" s="19"/>
      <c r="I659" s="19"/>
    </row>
    <row r="660" spans="1:9">
      <c r="A660" s="19"/>
      <c r="I660" s="19"/>
    </row>
    <row r="661" spans="1:9">
      <c r="A661" s="19"/>
      <c r="I661" s="19"/>
    </row>
    <row r="662" spans="1:9">
      <c r="A662" s="19"/>
      <c r="I662" s="19"/>
    </row>
    <row r="663" spans="1:9">
      <c r="A663" s="19"/>
      <c r="I663" s="19"/>
    </row>
    <row r="664" spans="1:9">
      <c r="A664" s="19"/>
      <c r="I664" s="19"/>
    </row>
    <row r="665" spans="1:9">
      <c r="A665" s="19"/>
      <c r="I665" s="19"/>
    </row>
    <row r="666" spans="1:9">
      <c r="A666" s="19"/>
      <c r="I666" s="19"/>
    </row>
    <row r="667" spans="1:9">
      <c r="A667" s="19"/>
      <c r="I667" s="19"/>
    </row>
    <row r="668" spans="1:9">
      <c r="A668" s="19"/>
      <c r="I668" s="19"/>
    </row>
    <row r="669" spans="1:9">
      <c r="A669" s="19"/>
      <c r="I669" s="19"/>
    </row>
    <row r="670" spans="1:9">
      <c r="A670" s="19"/>
      <c r="I670" s="19"/>
    </row>
    <row r="671" spans="1:9">
      <c r="A671" s="19"/>
      <c r="I671" s="19"/>
    </row>
    <row r="672" spans="1:9">
      <c r="A672" s="19"/>
      <c r="I672" s="19"/>
    </row>
    <row r="673" spans="1:9">
      <c r="A673" s="19"/>
      <c r="I673" s="19"/>
    </row>
    <row r="674" spans="1:9">
      <c r="A674" s="19"/>
      <c r="I674" s="19"/>
    </row>
    <row r="675" spans="1:9">
      <c r="A675" s="19"/>
      <c r="I675" s="19"/>
    </row>
    <row r="676" spans="1:9">
      <c r="A676" s="19"/>
      <c r="I676" s="19"/>
    </row>
    <row r="677" spans="1:9">
      <c r="A677" s="19"/>
      <c r="I677" s="19"/>
    </row>
    <row r="678" spans="1:9">
      <c r="A678" s="19"/>
      <c r="I678" s="19"/>
    </row>
    <row r="679" spans="1:9">
      <c r="A679" s="19"/>
      <c r="I679" s="19"/>
    </row>
    <row r="680" spans="1:9">
      <c r="A680" s="19"/>
      <c r="I680" s="19"/>
    </row>
    <row r="681" spans="1:9">
      <c r="A681" s="19"/>
      <c r="I681" s="19"/>
    </row>
    <row r="682" spans="1:9">
      <c r="A682" s="19"/>
      <c r="I682" s="19"/>
    </row>
    <row r="683" spans="1:9">
      <c r="A683" s="19"/>
      <c r="I683" s="19"/>
    </row>
    <row r="684" spans="1:9">
      <c r="A684" s="19"/>
      <c r="I684" s="19"/>
    </row>
    <row r="685" spans="1:9">
      <c r="A685" s="19"/>
      <c r="I685" s="19"/>
    </row>
    <row r="686" spans="1:9">
      <c r="A686" s="19"/>
      <c r="I686" s="19"/>
    </row>
    <row r="687" spans="1:9">
      <c r="A687" s="19"/>
      <c r="I687" s="19"/>
    </row>
    <row r="688" spans="1:9">
      <c r="A688" s="19"/>
      <c r="I688" s="19"/>
    </row>
    <row r="689" spans="1:9">
      <c r="A689" s="19"/>
      <c r="I689" s="19"/>
    </row>
    <row r="690" spans="1:9">
      <c r="A690" s="19"/>
      <c r="I690" s="19"/>
    </row>
    <row r="691" spans="1:9">
      <c r="A691" s="19"/>
      <c r="I691" s="19"/>
    </row>
    <row r="692" spans="1:9">
      <c r="A692" s="19"/>
      <c r="I692" s="19"/>
    </row>
    <row r="693" spans="1:9">
      <c r="A693" s="19"/>
      <c r="I693" s="19"/>
    </row>
    <row r="694" spans="1:9">
      <c r="A694" s="19"/>
      <c r="I694" s="19"/>
    </row>
    <row r="695" spans="1:9">
      <c r="A695" s="19"/>
      <c r="I695" s="19"/>
    </row>
    <row r="696" spans="1:9">
      <c r="A696" s="19"/>
      <c r="I696" s="19"/>
    </row>
    <row r="697" spans="1:9">
      <c r="A697" s="19"/>
      <c r="I697" s="19"/>
    </row>
    <row r="698" spans="1:9">
      <c r="A698" s="19"/>
      <c r="I698" s="19"/>
    </row>
    <row r="699" spans="1:9">
      <c r="A699" s="19"/>
      <c r="I699" s="19"/>
    </row>
    <row r="700" spans="1:9">
      <c r="A700" s="19"/>
      <c r="I700" s="19"/>
    </row>
    <row r="701" spans="1:9">
      <c r="A701" s="19"/>
      <c r="I701" s="19"/>
    </row>
    <row r="702" spans="1:9">
      <c r="A702" s="19"/>
      <c r="I702" s="19"/>
    </row>
    <row r="703" spans="1:9">
      <c r="A703" s="19"/>
      <c r="I703" s="19"/>
    </row>
    <row r="704" spans="1:9">
      <c r="A704" s="19"/>
      <c r="I704" s="19"/>
    </row>
    <row r="705" spans="1:9">
      <c r="A705" s="19"/>
      <c r="I705" s="19"/>
    </row>
    <row r="706" spans="1:9">
      <c r="A706" s="19"/>
      <c r="I706" s="19"/>
    </row>
    <row r="707" spans="1:9">
      <c r="A707" s="19"/>
      <c r="I707" s="19"/>
    </row>
    <row r="708" spans="1:9">
      <c r="A708" s="19"/>
      <c r="I708" s="19"/>
    </row>
    <row r="709" spans="1:9">
      <c r="A709" s="19"/>
      <c r="I709" s="19"/>
    </row>
    <row r="710" spans="1:9">
      <c r="A710" s="19"/>
      <c r="I710" s="19"/>
    </row>
    <row r="711" spans="1:9">
      <c r="A711" s="19"/>
      <c r="I711" s="19"/>
    </row>
    <row r="712" spans="1:9">
      <c r="A712" s="19"/>
      <c r="I712" s="19"/>
    </row>
    <row r="713" spans="1:9">
      <c r="A713" s="19"/>
      <c r="I713" s="19"/>
    </row>
    <row r="714" spans="1:9">
      <c r="A714" s="19"/>
      <c r="I714" s="19"/>
    </row>
    <row r="715" spans="1:9">
      <c r="A715" s="19"/>
      <c r="I715" s="19"/>
    </row>
    <row r="716" spans="1:9">
      <c r="A716" s="19"/>
      <c r="I716" s="19"/>
    </row>
    <row r="717" spans="1:9">
      <c r="A717" s="19"/>
      <c r="I717" s="19"/>
    </row>
    <row r="718" spans="1:9">
      <c r="A718" s="19"/>
      <c r="I718" s="19"/>
    </row>
    <row r="719" spans="1:9">
      <c r="A719" s="19"/>
      <c r="I719" s="19"/>
    </row>
    <row r="720" spans="1:9">
      <c r="A720" s="19"/>
      <c r="I720" s="19"/>
    </row>
    <row r="721" spans="1:9">
      <c r="A721" s="19"/>
      <c r="I721" s="19"/>
    </row>
    <row r="722" spans="1:9">
      <c r="A722" s="19"/>
      <c r="I722" s="19"/>
    </row>
    <row r="723" spans="1:9">
      <c r="A723" s="19"/>
      <c r="I723" s="19"/>
    </row>
    <row r="724" spans="1:9">
      <c r="A724" s="19"/>
      <c r="I724" s="19"/>
    </row>
    <row r="725" spans="1:9">
      <c r="A725" s="19"/>
      <c r="I725" s="19"/>
    </row>
    <row r="726" spans="1:9">
      <c r="A726" s="19"/>
      <c r="I726" s="19"/>
    </row>
    <row r="727" spans="1:9">
      <c r="A727" s="19"/>
      <c r="I727" s="19"/>
    </row>
    <row r="728" spans="1:9">
      <c r="A728" s="19"/>
      <c r="I728" s="19"/>
    </row>
    <row r="729" spans="1:9">
      <c r="A729" s="19"/>
      <c r="I729" s="19"/>
    </row>
    <row r="730" spans="1:9">
      <c r="A730" s="19"/>
      <c r="I730" s="19"/>
    </row>
    <row r="731" spans="1:9">
      <c r="A731" s="19"/>
      <c r="I731" s="19"/>
    </row>
    <row r="732" spans="1:9">
      <c r="A732" s="19"/>
      <c r="I732" s="19"/>
    </row>
    <row r="733" spans="1:9">
      <c r="A733" s="19"/>
      <c r="I733" s="19"/>
    </row>
    <row r="734" spans="1:9">
      <c r="A734" s="19"/>
      <c r="I734" s="19"/>
    </row>
    <row r="735" spans="1:9">
      <c r="A735" s="19"/>
      <c r="I735" s="19"/>
    </row>
    <row r="736" spans="1:9">
      <c r="A736" s="19"/>
      <c r="I736" s="19"/>
    </row>
    <row r="737" spans="1:9">
      <c r="A737" s="19"/>
      <c r="I737" s="19"/>
    </row>
    <row r="738" spans="1:9">
      <c r="A738" s="19"/>
      <c r="I738" s="19"/>
    </row>
    <row r="739" spans="1:9">
      <c r="A739" s="19"/>
      <c r="I739" s="19"/>
    </row>
    <row r="740" spans="1:9">
      <c r="A740" s="19"/>
      <c r="I740" s="19"/>
    </row>
    <row r="741" spans="1:9">
      <c r="A741" s="19"/>
      <c r="I741" s="19"/>
    </row>
    <row r="742" spans="1:9">
      <c r="A742" s="19"/>
      <c r="I742" s="19"/>
    </row>
    <row r="743" spans="1:9">
      <c r="A743" s="19"/>
      <c r="I743" s="19"/>
    </row>
    <row r="744" spans="1:9">
      <c r="A744" s="19"/>
      <c r="I744" s="19"/>
    </row>
    <row r="745" spans="1:9">
      <c r="A745" s="19"/>
      <c r="I745" s="19"/>
    </row>
    <row r="746" spans="1:9">
      <c r="A746" s="19"/>
      <c r="I746" s="19"/>
    </row>
    <row r="747" spans="1:9">
      <c r="A747" s="19"/>
      <c r="I747" s="19"/>
    </row>
    <row r="748" spans="1:9">
      <c r="A748" s="19"/>
      <c r="I748" s="19"/>
    </row>
    <row r="749" spans="1:9">
      <c r="A749" s="19"/>
      <c r="I749" s="19"/>
    </row>
    <row r="750" spans="1:9">
      <c r="A750" s="19"/>
      <c r="I750" s="19"/>
    </row>
    <row r="751" spans="1:9">
      <c r="A751" s="19"/>
      <c r="I751" s="19"/>
    </row>
    <row r="752" spans="1:9">
      <c r="A752" s="19"/>
      <c r="I752" s="19"/>
    </row>
    <row r="753" spans="1:9">
      <c r="A753" s="19"/>
      <c r="I753" s="19"/>
    </row>
    <row r="754" spans="1:9">
      <c r="A754" s="19"/>
      <c r="I754" s="19"/>
    </row>
    <row r="755" spans="1:9">
      <c r="A755" s="19"/>
      <c r="I755" s="19"/>
    </row>
    <row r="756" spans="1:9">
      <c r="A756" s="19"/>
      <c r="I756" s="19"/>
    </row>
    <row r="757" spans="1:9">
      <c r="A757" s="19"/>
      <c r="I757" s="19"/>
    </row>
    <row r="758" spans="1:9">
      <c r="A758" s="19"/>
      <c r="I758" s="19"/>
    </row>
    <row r="759" spans="1:9">
      <c r="A759" s="19"/>
      <c r="I759" s="19"/>
    </row>
    <row r="760" spans="1:9">
      <c r="A760" s="19"/>
      <c r="I760" s="19"/>
    </row>
    <row r="761" spans="1:9">
      <c r="A761" s="19"/>
      <c r="I761" s="19"/>
    </row>
    <row r="762" spans="1:9">
      <c r="A762" s="19"/>
      <c r="I762" s="19"/>
    </row>
    <row r="763" spans="1:9">
      <c r="A763" s="19"/>
      <c r="I763" s="19"/>
    </row>
    <row r="764" spans="1:9">
      <c r="A764" s="19"/>
      <c r="I764" s="19"/>
    </row>
    <row r="765" spans="1:9">
      <c r="A765" s="19"/>
      <c r="I765" s="19"/>
    </row>
    <row r="766" spans="1:9">
      <c r="A766" s="19"/>
      <c r="I766" s="19"/>
    </row>
    <row r="767" spans="1:9">
      <c r="A767" s="19"/>
      <c r="I767" s="19"/>
    </row>
    <row r="768" spans="1:9">
      <c r="A768" s="19"/>
      <c r="I768" s="19"/>
    </row>
    <row r="769" spans="1:9">
      <c r="A769" s="19"/>
      <c r="I769" s="19"/>
    </row>
    <row r="770" spans="1:9">
      <c r="A770" s="19"/>
      <c r="I770" s="19"/>
    </row>
    <row r="771" spans="1:9">
      <c r="A771" s="19"/>
      <c r="I771" s="19"/>
    </row>
    <row r="772" spans="1:9">
      <c r="A772" s="19"/>
      <c r="I772" s="19"/>
    </row>
    <row r="773" spans="1:9">
      <c r="A773" s="19"/>
      <c r="I773" s="19"/>
    </row>
    <row r="774" spans="1:9">
      <c r="A774" s="19"/>
      <c r="I774" s="19"/>
    </row>
    <row r="775" spans="1:9">
      <c r="A775" s="19"/>
      <c r="I775" s="19"/>
    </row>
    <row r="776" spans="1:9">
      <c r="A776" s="19"/>
      <c r="I776" s="19"/>
    </row>
    <row r="777" spans="1:9">
      <c r="A777" s="19"/>
      <c r="I777" s="19"/>
    </row>
    <row r="778" spans="1:9">
      <c r="A778" s="19"/>
      <c r="I778" s="19"/>
    </row>
    <row r="779" spans="1:9">
      <c r="A779" s="19"/>
      <c r="I779" s="19"/>
    </row>
    <row r="780" spans="1:9">
      <c r="A780" s="19"/>
      <c r="I780" s="19"/>
    </row>
    <row r="781" spans="1:9">
      <c r="A781" s="19"/>
      <c r="I781" s="19"/>
    </row>
    <row r="782" spans="1:9">
      <c r="A782" s="19"/>
      <c r="I782" s="19"/>
    </row>
    <row r="783" spans="1:9">
      <c r="A783" s="19"/>
      <c r="I783" s="19"/>
    </row>
    <row r="784" spans="1:9">
      <c r="A784" s="19"/>
      <c r="I784" s="19"/>
    </row>
    <row r="785" spans="1:9">
      <c r="A785" s="19"/>
      <c r="I785" s="19"/>
    </row>
    <row r="786" spans="1:9">
      <c r="A786" s="19"/>
      <c r="I786" s="19"/>
    </row>
    <row r="787" spans="1:9">
      <c r="A787" s="19"/>
      <c r="I787" s="19"/>
    </row>
    <row r="788" spans="1:9">
      <c r="A788" s="19"/>
      <c r="I788" s="19"/>
    </row>
    <row r="789" spans="1:9">
      <c r="A789" s="19"/>
      <c r="I789" s="19"/>
    </row>
    <row r="790" spans="1:9">
      <c r="A790" s="19"/>
      <c r="I790" s="19"/>
    </row>
    <row r="791" spans="1:9">
      <c r="A791" s="19"/>
      <c r="I791" s="19"/>
    </row>
    <row r="792" spans="1:9">
      <c r="A792" s="19"/>
      <c r="I792" s="19"/>
    </row>
    <row r="793" spans="1:9">
      <c r="A793" s="19"/>
      <c r="I793" s="19"/>
    </row>
    <row r="794" spans="1:9">
      <c r="A794" s="19"/>
      <c r="I794" s="19"/>
    </row>
    <row r="795" spans="1:9">
      <c r="A795" s="19"/>
      <c r="I795" s="19"/>
    </row>
    <row r="796" spans="1:9">
      <c r="A796" s="19"/>
      <c r="I796" s="19"/>
    </row>
    <row r="797" spans="1:9">
      <c r="A797" s="19"/>
      <c r="I797" s="19"/>
    </row>
    <row r="798" spans="1:9">
      <c r="A798" s="19"/>
      <c r="I798" s="19"/>
    </row>
    <row r="799" spans="1:9">
      <c r="A799" s="19"/>
      <c r="I799" s="19"/>
    </row>
    <row r="800" spans="1:9">
      <c r="A800" s="19"/>
      <c r="I800" s="19"/>
    </row>
    <row r="801" spans="1:9">
      <c r="A801" s="19"/>
      <c r="I801" s="19"/>
    </row>
    <row r="802" spans="1:9">
      <c r="A802" s="19"/>
      <c r="I802" s="19"/>
    </row>
    <row r="803" spans="1:9">
      <c r="A803" s="19"/>
      <c r="I803" s="19"/>
    </row>
    <row r="804" spans="1:9">
      <c r="A804" s="19"/>
      <c r="I804" s="19"/>
    </row>
    <row r="805" spans="1:9">
      <c r="A805" s="19"/>
      <c r="I805" s="19"/>
    </row>
    <row r="806" spans="1:9">
      <c r="A806" s="19"/>
      <c r="I806" s="19"/>
    </row>
    <row r="807" spans="1:9">
      <c r="A807" s="19"/>
      <c r="I807" s="19"/>
    </row>
    <row r="808" spans="1:9">
      <c r="A808" s="19"/>
      <c r="I808" s="19"/>
    </row>
    <row r="809" spans="1:9">
      <c r="A809" s="19"/>
      <c r="I809" s="19"/>
    </row>
    <row r="810" spans="1:9">
      <c r="A810" s="19"/>
      <c r="I810" s="19"/>
    </row>
    <row r="811" spans="1:9">
      <c r="A811" s="19"/>
      <c r="I811" s="19"/>
    </row>
    <row r="812" spans="1:9">
      <c r="A812" s="19"/>
      <c r="I812" s="19"/>
    </row>
    <row r="813" spans="1:9">
      <c r="A813" s="19"/>
      <c r="I813" s="19"/>
    </row>
    <row r="814" spans="1:9">
      <c r="A814" s="19"/>
      <c r="I814" s="19"/>
    </row>
    <row r="815" spans="1:9">
      <c r="A815" s="19"/>
      <c r="I815" s="19"/>
    </row>
    <row r="816" spans="1:9">
      <c r="A816" s="19"/>
      <c r="I816" s="19"/>
    </row>
    <row r="817" spans="1:9">
      <c r="A817" s="19"/>
      <c r="I817" s="19"/>
    </row>
    <row r="818" spans="1:9">
      <c r="A818" s="19"/>
      <c r="I818" s="19"/>
    </row>
    <row r="819" spans="1:9">
      <c r="A819" s="19"/>
      <c r="I819" s="19"/>
    </row>
    <row r="820" spans="1:9">
      <c r="A820" s="19"/>
      <c r="I820" s="19"/>
    </row>
    <row r="821" spans="1:9">
      <c r="A821" s="19"/>
      <c r="I821" s="19"/>
    </row>
    <row r="822" spans="1:9">
      <c r="A822" s="19"/>
      <c r="I822" s="19"/>
    </row>
    <row r="823" spans="1:9">
      <c r="A823" s="19"/>
      <c r="I823" s="19"/>
    </row>
    <row r="824" spans="1:9">
      <c r="A824" s="19"/>
      <c r="I824" s="19"/>
    </row>
    <row r="825" spans="1:9">
      <c r="A825" s="19"/>
      <c r="I825" s="19"/>
    </row>
    <row r="826" spans="1:9">
      <c r="A826" s="19"/>
      <c r="I826" s="19"/>
    </row>
    <row r="827" spans="1:9">
      <c r="A827" s="19"/>
      <c r="I827" s="19"/>
    </row>
    <row r="828" spans="1:9">
      <c r="A828" s="19"/>
      <c r="I828" s="19"/>
    </row>
    <row r="829" spans="1:9">
      <c r="A829" s="19"/>
      <c r="I829" s="19"/>
    </row>
    <row r="830" spans="1:9">
      <c r="A830" s="19"/>
      <c r="I830" s="19"/>
    </row>
    <row r="831" spans="1:9">
      <c r="A831" s="19"/>
      <c r="I831" s="19"/>
    </row>
    <row r="832" spans="1:9">
      <c r="A832" s="19"/>
      <c r="I832" s="19"/>
    </row>
    <row r="833" spans="1:9">
      <c r="A833" s="19"/>
      <c r="I833" s="19"/>
    </row>
    <row r="834" spans="1:9">
      <c r="A834" s="19"/>
      <c r="I834" s="19"/>
    </row>
    <row r="835" spans="1:9">
      <c r="A835" s="19"/>
      <c r="I835" s="19"/>
    </row>
    <row r="836" spans="1:9">
      <c r="A836" s="19"/>
      <c r="I836" s="19"/>
    </row>
    <row r="837" spans="1:9">
      <c r="A837" s="19"/>
      <c r="I837" s="19"/>
    </row>
    <row r="838" spans="1:9">
      <c r="A838" s="19"/>
      <c r="I838" s="19"/>
    </row>
    <row r="839" spans="1:9">
      <c r="A839" s="19"/>
      <c r="I839" s="19"/>
    </row>
    <row r="840" spans="1:9">
      <c r="A840" s="19"/>
      <c r="I840" s="19"/>
    </row>
    <row r="841" spans="1:9">
      <c r="A841" s="19"/>
      <c r="I841" s="19"/>
    </row>
    <row r="842" spans="1:9">
      <c r="A842" s="19"/>
      <c r="I842" s="19"/>
    </row>
    <row r="843" spans="1:9">
      <c r="A843" s="19"/>
      <c r="I843" s="19"/>
    </row>
    <row r="844" spans="1:9">
      <c r="A844" s="19"/>
      <c r="I844" s="19"/>
    </row>
    <row r="845" spans="1:9">
      <c r="A845" s="19"/>
      <c r="I845" s="19"/>
    </row>
    <row r="846" spans="1:9">
      <c r="A846" s="19"/>
      <c r="I846" s="19"/>
    </row>
    <row r="847" spans="1:9">
      <c r="A847" s="19"/>
      <c r="I847" s="19"/>
    </row>
    <row r="848" spans="1:9">
      <c r="A848" s="19"/>
      <c r="I848" s="19"/>
    </row>
    <row r="849" spans="1:9">
      <c r="A849" s="19"/>
      <c r="I849" s="19"/>
    </row>
    <row r="850" spans="1:9">
      <c r="A850" s="19"/>
      <c r="I850" s="19"/>
    </row>
    <row r="851" spans="1:9">
      <c r="A851" s="19"/>
      <c r="I851" s="19"/>
    </row>
    <row r="852" spans="1:9">
      <c r="A852" s="19"/>
      <c r="I852" s="19"/>
    </row>
    <row r="853" spans="1:9">
      <c r="A853" s="19"/>
      <c r="I853" s="19"/>
    </row>
    <row r="854" spans="1:9">
      <c r="A854" s="19"/>
      <c r="I854" s="19"/>
    </row>
    <row r="855" spans="1:9">
      <c r="A855" s="19"/>
      <c r="I855" s="19"/>
    </row>
    <row r="856" spans="1:9">
      <c r="A856" s="19"/>
      <c r="I856" s="19"/>
    </row>
    <row r="857" spans="1:9">
      <c r="A857" s="19"/>
      <c r="I857" s="19"/>
    </row>
    <row r="858" spans="1:9">
      <c r="A858" s="19"/>
      <c r="I858" s="19"/>
    </row>
    <row r="859" spans="1:9">
      <c r="A859" s="19"/>
      <c r="I859" s="19"/>
    </row>
    <row r="860" spans="1:9">
      <c r="A860" s="19"/>
      <c r="I860" s="19"/>
    </row>
    <row r="861" spans="1:9">
      <c r="A861" s="19"/>
      <c r="I861" s="19"/>
    </row>
    <row r="862" spans="1:9">
      <c r="A862" s="19"/>
      <c r="I862" s="19"/>
    </row>
    <row r="863" spans="1:9">
      <c r="A863" s="19"/>
      <c r="I863" s="19"/>
    </row>
    <row r="864" spans="1:9">
      <c r="A864" s="19"/>
      <c r="I864" s="19"/>
    </row>
    <row r="865" spans="1:9">
      <c r="A865" s="19"/>
      <c r="I865" s="19"/>
    </row>
    <row r="866" spans="1:9">
      <c r="A866" s="19"/>
      <c r="I866" s="19"/>
    </row>
    <row r="867" spans="1:9">
      <c r="A867" s="19"/>
      <c r="I867" s="19"/>
    </row>
    <row r="868" spans="1:9">
      <c r="A868" s="19"/>
      <c r="I868" s="19"/>
    </row>
    <row r="869" spans="1:9">
      <c r="A869" s="19"/>
      <c r="I869" s="19"/>
    </row>
    <row r="870" spans="1:9">
      <c r="A870" s="19"/>
      <c r="I870" s="19"/>
    </row>
    <row r="871" spans="1:9">
      <c r="A871" s="19"/>
      <c r="I871" s="19"/>
    </row>
    <row r="872" spans="1:9">
      <c r="A872" s="19"/>
      <c r="I872" s="19"/>
    </row>
    <row r="873" spans="1:9">
      <c r="A873" s="19"/>
      <c r="I873" s="19"/>
    </row>
    <row r="874" spans="1:9">
      <c r="A874" s="19"/>
      <c r="I874" s="19"/>
    </row>
    <row r="875" spans="1:9">
      <c r="A875" s="19"/>
      <c r="I875" s="19"/>
    </row>
    <row r="876" spans="1:9">
      <c r="A876" s="19"/>
      <c r="I876" s="19"/>
    </row>
    <row r="877" spans="1:9">
      <c r="A877" s="19"/>
      <c r="I877" s="19"/>
    </row>
    <row r="878" spans="1:9">
      <c r="A878" s="19"/>
      <c r="I878" s="19"/>
    </row>
    <row r="879" spans="1:9">
      <c r="A879" s="19"/>
      <c r="I879" s="19"/>
    </row>
    <row r="880" spans="1:9">
      <c r="A880" s="19"/>
      <c r="I880" s="19"/>
    </row>
    <row r="881" spans="1:9">
      <c r="A881" s="19"/>
      <c r="I881" s="19"/>
    </row>
    <row r="882" spans="1:9">
      <c r="A882" s="19"/>
      <c r="I882" s="19"/>
    </row>
    <row r="883" spans="1:9">
      <c r="A883" s="19"/>
      <c r="I883" s="19"/>
    </row>
    <row r="884" spans="1:9">
      <c r="A884" s="19"/>
      <c r="I884" s="19"/>
    </row>
    <row r="885" spans="1:9">
      <c r="A885" s="19"/>
      <c r="I885" s="19"/>
    </row>
    <row r="886" spans="1:9">
      <c r="A886" s="19"/>
      <c r="I886" s="19"/>
    </row>
    <row r="887" spans="1:9">
      <c r="A887" s="19"/>
      <c r="I887" s="19"/>
    </row>
    <row r="888" spans="1:9">
      <c r="A888" s="19"/>
      <c r="I888" s="19"/>
    </row>
    <row r="889" spans="1:9">
      <c r="A889" s="19"/>
      <c r="I889" s="19"/>
    </row>
    <row r="890" spans="1:9">
      <c r="A890" s="19"/>
      <c r="I890" s="19"/>
    </row>
    <row r="891" spans="1:9">
      <c r="A891" s="19"/>
      <c r="I891" s="19"/>
    </row>
    <row r="892" spans="1:9">
      <c r="A892" s="19"/>
      <c r="I892" s="19"/>
    </row>
    <row r="893" spans="1:9">
      <c r="A893" s="19"/>
      <c r="I893" s="19"/>
    </row>
    <row r="894" spans="1:9">
      <c r="A894" s="19"/>
      <c r="I894" s="19"/>
    </row>
    <row r="895" spans="1:9">
      <c r="A895" s="19"/>
      <c r="I895" s="19"/>
    </row>
    <row r="896" spans="1:9">
      <c r="A896" s="19"/>
      <c r="I896" s="19"/>
    </row>
    <row r="897" spans="1:9">
      <c r="A897" s="19"/>
      <c r="I897" s="19"/>
    </row>
    <row r="898" spans="1:9">
      <c r="A898" s="19"/>
      <c r="I898" s="19"/>
    </row>
    <row r="899" spans="1:9">
      <c r="A899" s="19"/>
      <c r="I899" s="19"/>
    </row>
    <row r="900" spans="1:9">
      <c r="A900" s="19"/>
      <c r="I900" s="19"/>
    </row>
    <row r="901" spans="1:9">
      <c r="A901" s="19"/>
      <c r="I901" s="19"/>
    </row>
    <row r="902" spans="1:9">
      <c r="A902" s="19"/>
      <c r="I902" s="19"/>
    </row>
    <row r="903" spans="1:9">
      <c r="A903" s="19"/>
      <c r="I903" s="19"/>
    </row>
    <row r="904" spans="1:9">
      <c r="A904" s="19"/>
      <c r="I904" s="19"/>
    </row>
    <row r="905" spans="1:9">
      <c r="A905" s="19"/>
      <c r="I905" s="19"/>
    </row>
    <row r="906" spans="1:9">
      <c r="A906" s="19"/>
      <c r="I906" s="19"/>
    </row>
    <row r="907" spans="1:9">
      <c r="A907" s="19"/>
      <c r="I907" s="19"/>
    </row>
    <row r="908" spans="1:9">
      <c r="A908" s="19"/>
      <c r="I908" s="19"/>
    </row>
    <row r="909" spans="1:9">
      <c r="A909" s="19"/>
      <c r="I909" s="19"/>
    </row>
    <row r="910" spans="1:9">
      <c r="A910" s="19"/>
      <c r="I910" s="19"/>
    </row>
    <row r="911" spans="1:9">
      <c r="A911" s="19"/>
      <c r="I911" s="19"/>
    </row>
    <row r="912" spans="1:9">
      <c r="A912" s="19"/>
      <c r="I912" s="19"/>
    </row>
    <row r="913" spans="1:9">
      <c r="A913" s="19"/>
      <c r="I913" s="19"/>
    </row>
    <row r="914" spans="1:9">
      <c r="A914" s="19"/>
      <c r="I914" s="19"/>
    </row>
    <row r="915" spans="1:9">
      <c r="A915" s="19"/>
      <c r="I915" s="19"/>
    </row>
    <row r="916" spans="1:9">
      <c r="A916" s="19"/>
      <c r="I916" s="19"/>
    </row>
    <row r="917" spans="1:9">
      <c r="A917" s="19"/>
      <c r="I917" s="19"/>
    </row>
    <row r="918" spans="1:9">
      <c r="A918" s="19"/>
      <c r="I918" s="19"/>
    </row>
    <row r="919" spans="1:9">
      <c r="A919" s="19"/>
      <c r="I919" s="19"/>
    </row>
    <row r="920" spans="1:9">
      <c r="A920" s="19"/>
      <c r="I920" s="19"/>
    </row>
    <row r="921" spans="1:9">
      <c r="A921" s="19"/>
      <c r="I921" s="19"/>
    </row>
    <row r="922" spans="1:9">
      <c r="A922" s="19"/>
      <c r="I922" s="19"/>
    </row>
    <row r="923" spans="1:9">
      <c r="A923" s="19"/>
      <c r="I923" s="19"/>
    </row>
    <row r="924" spans="1:9">
      <c r="A924" s="19"/>
      <c r="I924" s="19"/>
    </row>
    <row r="925" spans="1:9">
      <c r="A925" s="19"/>
      <c r="I925" s="19"/>
    </row>
    <row r="926" spans="1:9">
      <c r="A926" s="19"/>
      <c r="I926" s="19"/>
    </row>
    <row r="927" spans="1:9">
      <c r="A927" s="19"/>
      <c r="I927" s="19"/>
    </row>
    <row r="928" spans="1:9">
      <c r="A928" s="19"/>
      <c r="I928" s="19"/>
    </row>
    <row r="929" spans="1:9">
      <c r="A929" s="19"/>
      <c r="I929" s="19"/>
    </row>
    <row r="930" spans="1:9">
      <c r="A930" s="19"/>
      <c r="I930" s="19"/>
    </row>
    <row r="931" spans="1:9">
      <c r="A931" s="19"/>
      <c r="I931" s="19"/>
    </row>
    <row r="932" spans="1:9">
      <c r="A932" s="19"/>
      <c r="I932" s="19"/>
    </row>
    <row r="933" spans="1:9">
      <c r="A933" s="19"/>
      <c r="I933" s="19"/>
    </row>
    <row r="934" spans="1:9">
      <c r="A934" s="19"/>
      <c r="I934" s="19"/>
    </row>
    <row r="935" spans="1:9">
      <c r="A935" s="19"/>
      <c r="I935" s="19"/>
    </row>
    <row r="936" spans="1:9">
      <c r="A936" s="19"/>
      <c r="I936" s="19"/>
    </row>
    <row r="937" spans="1:9">
      <c r="A937" s="19"/>
      <c r="I937" s="19"/>
    </row>
    <row r="938" spans="1:9">
      <c r="A938" s="19"/>
      <c r="I938" s="19"/>
    </row>
    <row r="939" spans="1:9">
      <c r="A939" s="19"/>
      <c r="I939" s="19"/>
    </row>
    <row r="940" spans="1:9">
      <c r="A940" s="19"/>
      <c r="I940" s="19"/>
    </row>
    <row r="941" spans="1:9">
      <c r="A941" s="19"/>
      <c r="I941" s="19"/>
    </row>
    <row r="942" spans="1:9">
      <c r="A942" s="19"/>
      <c r="I942" s="19"/>
    </row>
    <row r="943" spans="1:9">
      <c r="A943" s="19"/>
      <c r="I943" s="19"/>
    </row>
    <row r="944" spans="1:9">
      <c r="A944" s="19"/>
      <c r="I944" s="19"/>
    </row>
    <row r="945" spans="1:9">
      <c r="A945" s="19"/>
      <c r="I945" s="19"/>
    </row>
    <row r="946" spans="1:9">
      <c r="A946" s="19"/>
      <c r="I946" s="19"/>
    </row>
    <row r="947" spans="1:9">
      <c r="A947" s="19"/>
      <c r="I947" s="19"/>
    </row>
    <row r="948" spans="1:9">
      <c r="A948" s="19"/>
      <c r="I948" s="19"/>
    </row>
    <row r="949" spans="1:9">
      <c r="A949" s="19"/>
      <c r="I949" s="19"/>
    </row>
    <row r="950" spans="1:9">
      <c r="A950" s="19"/>
      <c r="I950" s="19"/>
    </row>
    <row r="951" spans="1:9">
      <c r="A951" s="19"/>
      <c r="I951" s="19"/>
    </row>
    <row r="952" spans="1:9">
      <c r="A952" s="19"/>
      <c r="I952" s="19"/>
    </row>
    <row r="953" spans="1:9">
      <c r="A953" s="19"/>
      <c r="I953" s="19"/>
    </row>
    <row r="954" spans="1:9">
      <c r="A954" s="19"/>
      <c r="I954" s="19"/>
    </row>
    <row r="955" spans="1:9">
      <c r="A955" s="19"/>
      <c r="I955" s="19"/>
    </row>
    <row r="956" spans="1:9">
      <c r="A956" s="19"/>
      <c r="I956" s="19"/>
    </row>
    <row r="957" spans="1:9">
      <c r="A957" s="19"/>
      <c r="I957" s="19"/>
    </row>
    <row r="958" spans="1:9">
      <c r="A958" s="19"/>
      <c r="I958" s="19"/>
    </row>
    <row r="959" spans="1:9">
      <c r="A959" s="19"/>
      <c r="I959" s="19"/>
    </row>
    <row r="960" spans="1:9">
      <c r="A960" s="19"/>
      <c r="I960" s="19"/>
    </row>
    <row r="961" spans="1:9">
      <c r="A961" s="19"/>
      <c r="I961" s="19"/>
    </row>
    <row r="962" spans="1:9">
      <c r="A962" s="19"/>
      <c r="I962" s="19"/>
    </row>
    <row r="963" spans="1:9">
      <c r="A963" s="19"/>
      <c r="I963" s="19"/>
    </row>
    <row r="964" spans="1:9">
      <c r="A964" s="19"/>
      <c r="I964" s="19"/>
    </row>
    <row r="965" spans="1:9">
      <c r="A965" s="19"/>
      <c r="I965" s="19"/>
    </row>
    <row r="966" spans="1:9">
      <c r="A966" s="19"/>
      <c r="I966" s="19"/>
    </row>
    <row r="967" spans="1:9">
      <c r="A967" s="19"/>
      <c r="I967" s="19"/>
    </row>
    <row r="968" spans="1:9">
      <c r="A968" s="19"/>
      <c r="I968" s="19"/>
    </row>
    <row r="969" spans="1:9">
      <c r="A969" s="19"/>
      <c r="I969" s="19"/>
    </row>
    <row r="970" spans="1:9">
      <c r="A970" s="19"/>
      <c r="I970" s="19"/>
    </row>
    <row r="971" spans="1:9">
      <c r="A971" s="19"/>
      <c r="I971" s="19"/>
    </row>
    <row r="972" spans="1:9">
      <c r="A972" s="19"/>
      <c r="I972" s="19"/>
    </row>
    <row r="973" spans="1:9">
      <c r="A973" s="19"/>
      <c r="I973" s="19"/>
    </row>
    <row r="974" spans="1:9">
      <c r="A974" s="19"/>
      <c r="I974" s="19"/>
    </row>
    <row r="975" spans="1:9">
      <c r="A975" s="19"/>
      <c r="I975" s="19"/>
    </row>
    <row r="976" spans="1:9">
      <c r="A976" s="19"/>
      <c r="I976" s="19"/>
    </row>
    <row r="977" spans="1:9">
      <c r="A977" s="19"/>
      <c r="I977" s="19"/>
    </row>
    <row r="978" spans="1:9">
      <c r="A978" s="19"/>
      <c r="I978" s="19"/>
    </row>
    <row r="979" spans="1:9">
      <c r="A979" s="19"/>
      <c r="I979" s="19"/>
    </row>
    <row r="980" spans="1:9">
      <c r="A980" s="19"/>
      <c r="I980" s="19"/>
    </row>
    <row r="981" spans="1:9">
      <c r="A981" s="19"/>
      <c r="I981" s="19"/>
    </row>
    <row r="982" spans="1:9">
      <c r="A982" s="19"/>
      <c r="I982" s="19"/>
    </row>
    <row r="983" spans="1:9">
      <c r="A983" s="19"/>
      <c r="I983" s="19"/>
    </row>
    <row r="984" spans="1:9">
      <c r="A984" s="19"/>
      <c r="I984" s="19"/>
    </row>
    <row r="985" spans="1:9">
      <c r="A985" s="19"/>
      <c r="I985" s="19"/>
    </row>
    <row r="986" spans="1:9">
      <c r="A986" s="19"/>
      <c r="I986" s="19"/>
    </row>
    <row r="987" spans="1:9">
      <c r="A987" s="19"/>
      <c r="I987" s="19"/>
    </row>
    <row r="988" spans="1:9">
      <c r="A988" s="19"/>
      <c r="I988" s="19"/>
    </row>
    <row r="989" spans="1:9">
      <c r="A989" s="19"/>
      <c r="I989" s="19"/>
    </row>
    <row r="990" spans="1:9">
      <c r="A990" s="19"/>
      <c r="I990" s="19"/>
    </row>
    <row r="991" spans="1:9">
      <c r="A991" s="19"/>
      <c r="I991" s="19"/>
    </row>
    <row r="992" spans="1:9">
      <c r="A992" s="19"/>
      <c r="I992" s="19"/>
    </row>
    <row r="993" spans="1:9">
      <c r="A993" s="19"/>
      <c r="I993" s="19"/>
    </row>
    <row r="994" spans="1:9">
      <c r="A994" s="19"/>
      <c r="I994" s="19"/>
    </row>
    <row r="995" spans="1:9">
      <c r="A995" s="19"/>
      <c r="I995" s="19"/>
    </row>
    <row r="996" spans="1:9">
      <c r="A996" s="19"/>
      <c r="I996" s="19"/>
    </row>
    <row r="997" spans="1:9">
      <c r="A997" s="19"/>
      <c r="I997" s="19"/>
    </row>
    <row r="998" spans="1:9">
      <c r="A998" s="19"/>
      <c r="I998" s="19"/>
    </row>
    <row r="999" spans="1:9">
      <c r="A999" s="19"/>
      <c r="I999" s="19"/>
    </row>
    <row r="1000" spans="1:9">
      <c r="A1000" s="19"/>
      <c r="I1000" s="19"/>
    </row>
  </sheetData>
  <autoFilter ref="A1:G34" xr:uid="{00000000-0009-0000-0000-000001000000}"/>
  <conditionalFormatting sqref="O1:O35 V2:V31 A2:A33 I2:I33">
    <cfRule type="containsText" dxfId="36" priority="6" operator="containsText" text="2024">
      <formula>NOT(ISERROR(SEARCH(("2024"),(O1))))</formula>
    </cfRule>
    <cfRule type="containsText" dxfId="35" priority="7" operator="containsText" text="2025">
      <formula>NOT(ISERROR(SEARCH(("2025"),(O1))))</formula>
    </cfRule>
  </conditionalFormatting>
  <conditionalFormatting sqref="O1:O1000 V2:V31 A2:A33 I2:I33">
    <cfRule type="containsText" dxfId="34" priority="8" operator="containsText" text="2026">
      <formula>NOT(ISERROR(SEARCH(("2026"),(O1))))</formula>
    </cfRule>
  </conditionalFormatting>
  <conditionalFormatting sqref="Q2:S2 Q3:Q35">
    <cfRule type="cellIs" dxfId="33" priority="1" operator="between">
      <formula>"01/01/2024"</formula>
      <formula>"31/12/2024"</formula>
    </cfRule>
    <cfRule type="cellIs" dxfId="32" priority="2" operator="between">
      <formula>"01/01/2025"</formula>
      <formula>"31/12/2025"</formula>
    </cfRule>
    <cfRule type="cellIs" dxfId="31" priority="3" operator="between">
      <formula>"01/01/2026"</formula>
      <formula>"31/12/2026"</formula>
    </cfRule>
    <cfRule type="cellIs" dxfId="30" priority="4" operator="between">
      <formula>"01/01/2027"</formula>
      <formula>"31/12/2027"</formula>
    </cfRule>
    <cfRule type="cellIs" dxfId="29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761D"/>
    <outlinePr summaryBelow="0" summaryRight="0"/>
  </sheetPr>
  <dimension ref="A1:X999"/>
  <sheetViews>
    <sheetView workbookViewId="0"/>
  </sheetViews>
  <sheetFormatPr defaultColWidth="11.25" defaultRowHeight="15.75" customHeight="1"/>
  <cols>
    <col min="1" max="1" width="9.375" customWidth="1"/>
    <col min="2" max="2" width="43.875" customWidth="1"/>
    <col min="3" max="3" width="12.625" customWidth="1"/>
    <col min="4" max="4" width="13.375" customWidth="1"/>
    <col min="5" max="5" width="25.25" customWidth="1"/>
    <col min="7" max="7" width="19.5" customWidth="1"/>
    <col min="8" max="8" width="11.25" hidden="1"/>
    <col min="9" max="9" width="13.25" customWidth="1"/>
    <col min="10" max="13" width="16.375" customWidth="1"/>
    <col min="14" max="16" width="14.375" customWidth="1"/>
    <col min="17" max="17" width="13.125" customWidth="1"/>
    <col min="18" max="18" width="14.375" customWidth="1"/>
    <col min="19" max="20" width="15" customWidth="1"/>
    <col min="21" max="21" width="38.75" customWidth="1"/>
    <col min="22" max="22" width="13.75" customWidth="1"/>
    <col min="23" max="23" width="30.25" customWidth="1"/>
  </cols>
  <sheetData>
    <row r="1" spans="1:24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12</v>
      </c>
      <c r="T1" s="48"/>
      <c r="U1" s="1" t="s">
        <v>3</v>
      </c>
      <c r="V1" s="46" t="s">
        <v>4</v>
      </c>
      <c r="W1" s="48"/>
    </row>
    <row r="2" spans="1:24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39</v>
      </c>
      <c r="T2" s="2" t="s">
        <v>25</v>
      </c>
      <c r="U2" s="2" t="s">
        <v>40</v>
      </c>
      <c r="V2" s="2" t="s">
        <v>27</v>
      </c>
      <c r="W2" s="2" t="s">
        <v>28</v>
      </c>
      <c r="X2" s="2" t="s">
        <v>29</v>
      </c>
    </row>
    <row r="3" spans="1:24">
      <c r="A3" s="5">
        <v>2024</v>
      </c>
      <c r="B3" s="6" t="s">
        <v>42</v>
      </c>
      <c r="C3" s="5" t="s">
        <v>31</v>
      </c>
      <c r="D3" s="5" t="s">
        <v>32</v>
      </c>
      <c r="E3" s="5" t="s">
        <v>43</v>
      </c>
      <c r="F3" s="5" t="s">
        <v>44</v>
      </c>
      <c r="G3" s="5" t="s">
        <v>45</v>
      </c>
      <c r="H3" s="7" t="s">
        <v>48</v>
      </c>
      <c r="I3" s="5" t="s">
        <v>37</v>
      </c>
      <c r="J3" s="5">
        <v>5400020240014</v>
      </c>
      <c r="K3" s="6" t="s">
        <v>54</v>
      </c>
      <c r="L3" s="8">
        <v>45657</v>
      </c>
      <c r="M3" s="9">
        <v>46468</v>
      </c>
      <c r="N3" s="12">
        <v>300000</v>
      </c>
      <c r="O3" s="12">
        <v>300000</v>
      </c>
      <c r="P3" s="12">
        <v>300000</v>
      </c>
      <c r="Q3" s="6" t="s">
        <v>41</v>
      </c>
      <c r="R3" s="12">
        <v>300000</v>
      </c>
      <c r="S3" s="6" t="s">
        <v>41</v>
      </c>
      <c r="T3" s="6" t="s">
        <v>76</v>
      </c>
      <c r="U3" s="6" t="s">
        <v>86</v>
      </c>
      <c r="V3" s="7" t="s">
        <v>89</v>
      </c>
      <c r="W3" s="7" t="s">
        <v>90</v>
      </c>
      <c r="X3" s="9">
        <v>45833</v>
      </c>
    </row>
    <row r="4" spans="1:24">
      <c r="A4" s="5">
        <v>2025</v>
      </c>
      <c r="B4" s="6" t="s">
        <v>91</v>
      </c>
      <c r="C4" s="5" t="s">
        <v>92</v>
      </c>
      <c r="D4" s="5" t="s">
        <v>94</v>
      </c>
      <c r="E4" s="5" t="s">
        <v>97</v>
      </c>
      <c r="F4" s="5" t="s">
        <v>98</v>
      </c>
      <c r="G4" s="5" t="s">
        <v>101</v>
      </c>
      <c r="H4" s="7" t="s">
        <v>104</v>
      </c>
      <c r="I4" s="5" t="s">
        <v>87</v>
      </c>
      <c r="J4" s="5">
        <v>5400020250016</v>
      </c>
      <c r="K4" s="6" t="s">
        <v>109</v>
      </c>
      <c r="L4" s="8">
        <v>46022</v>
      </c>
      <c r="M4" s="9">
        <v>46538</v>
      </c>
      <c r="N4" s="12">
        <v>5000000</v>
      </c>
      <c r="O4" s="12">
        <v>5000000</v>
      </c>
      <c r="P4" s="12">
        <v>5000000</v>
      </c>
      <c r="Q4" s="6" t="s">
        <v>41</v>
      </c>
      <c r="R4" s="12">
        <v>5000000</v>
      </c>
      <c r="S4" s="6" t="s">
        <v>41</v>
      </c>
      <c r="T4" s="6" t="s">
        <v>41</v>
      </c>
      <c r="U4" s="6"/>
      <c r="V4" s="7" t="s">
        <v>119</v>
      </c>
      <c r="W4" s="7" t="s">
        <v>120</v>
      </c>
      <c r="X4" s="9">
        <v>46163</v>
      </c>
    </row>
    <row r="5" spans="1:24">
      <c r="A5" s="5">
        <v>2025</v>
      </c>
      <c r="B5" s="6" t="s">
        <v>121</v>
      </c>
      <c r="C5" s="5" t="s">
        <v>123</v>
      </c>
      <c r="D5" s="5" t="s">
        <v>125</v>
      </c>
      <c r="E5" s="5" t="s">
        <v>126</v>
      </c>
      <c r="F5" s="5" t="s">
        <v>129</v>
      </c>
      <c r="G5" s="5" t="s">
        <v>132</v>
      </c>
      <c r="H5" s="7" t="s">
        <v>135</v>
      </c>
      <c r="I5" s="5" t="s">
        <v>87</v>
      </c>
      <c r="J5" s="5">
        <v>5400020250016</v>
      </c>
      <c r="K5" s="6" t="s">
        <v>118</v>
      </c>
      <c r="L5" s="8">
        <v>46022</v>
      </c>
      <c r="M5" s="9">
        <v>46511</v>
      </c>
      <c r="N5" s="12">
        <v>330000</v>
      </c>
      <c r="O5" s="12">
        <v>330000</v>
      </c>
      <c r="P5" s="12">
        <v>330000</v>
      </c>
      <c r="Q5" s="6" t="s">
        <v>41</v>
      </c>
      <c r="R5" s="12">
        <v>330000</v>
      </c>
      <c r="S5" s="6" t="s">
        <v>41</v>
      </c>
      <c r="T5" s="6" t="s">
        <v>41</v>
      </c>
      <c r="U5" s="6"/>
      <c r="V5" s="7" t="s">
        <v>146</v>
      </c>
      <c r="W5" s="7" t="s">
        <v>148</v>
      </c>
      <c r="X5" s="9">
        <v>46163</v>
      </c>
    </row>
    <row r="6" spans="1:24">
      <c r="A6" s="5">
        <v>2025</v>
      </c>
      <c r="B6" s="6" t="s">
        <v>149</v>
      </c>
      <c r="C6" s="5" t="s">
        <v>141</v>
      </c>
      <c r="D6" s="5" t="s">
        <v>150</v>
      </c>
      <c r="E6" s="5" t="s">
        <v>151</v>
      </c>
      <c r="F6" s="5" t="s">
        <v>154</v>
      </c>
      <c r="G6" s="5" t="s">
        <v>156</v>
      </c>
      <c r="H6" s="7" t="s">
        <v>157</v>
      </c>
      <c r="I6" s="5" t="s">
        <v>87</v>
      </c>
      <c r="J6" s="5">
        <v>5400020250016</v>
      </c>
      <c r="K6" s="6" t="s">
        <v>162</v>
      </c>
      <c r="L6" s="8">
        <v>46022</v>
      </c>
      <c r="M6" s="9">
        <v>46392</v>
      </c>
      <c r="N6" s="12">
        <v>4000000</v>
      </c>
      <c r="O6" s="12">
        <v>4000000</v>
      </c>
      <c r="P6" s="12">
        <v>4000000</v>
      </c>
      <c r="Q6" s="6" t="s">
        <v>41</v>
      </c>
      <c r="R6" s="12">
        <v>4000000</v>
      </c>
      <c r="S6" s="6" t="s">
        <v>41</v>
      </c>
      <c r="T6" s="6" t="s">
        <v>41</v>
      </c>
      <c r="U6" s="6"/>
      <c r="V6" s="7" t="s">
        <v>172</v>
      </c>
      <c r="W6" s="7" t="s">
        <v>175</v>
      </c>
      <c r="X6" s="9">
        <v>46163</v>
      </c>
    </row>
    <row r="7" spans="1:24">
      <c r="A7" s="5">
        <v>2025</v>
      </c>
      <c r="B7" s="6" t="s">
        <v>179</v>
      </c>
      <c r="C7" s="5" t="s">
        <v>123</v>
      </c>
      <c r="D7" s="5" t="s">
        <v>180</v>
      </c>
      <c r="E7" s="5" t="s">
        <v>181</v>
      </c>
      <c r="F7" s="5" t="s">
        <v>182</v>
      </c>
      <c r="G7" s="5" t="s">
        <v>183</v>
      </c>
      <c r="H7" s="7" t="s">
        <v>185</v>
      </c>
      <c r="I7" s="5" t="s">
        <v>87</v>
      </c>
      <c r="J7" s="5">
        <v>5400020250016</v>
      </c>
      <c r="K7" s="6" t="s">
        <v>118</v>
      </c>
      <c r="L7" s="8">
        <v>46021</v>
      </c>
      <c r="M7" s="9">
        <v>46511</v>
      </c>
      <c r="N7" s="12">
        <v>500000</v>
      </c>
      <c r="O7" s="12">
        <v>500000</v>
      </c>
      <c r="P7" s="12">
        <v>500000</v>
      </c>
      <c r="Q7" s="6" t="s">
        <v>41</v>
      </c>
      <c r="R7" s="12">
        <v>500000</v>
      </c>
      <c r="S7" s="6" t="s">
        <v>41</v>
      </c>
      <c r="T7" s="6" t="s">
        <v>41</v>
      </c>
      <c r="U7" s="6"/>
      <c r="V7" s="7" t="s">
        <v>196</v>
      </c>
      <c r="W7" s="7" t="s">
        <v>197</v>
      </c>
      <c r="X7" s="9">
        <v>46163</v>
      </c>
    </row>
    <row r="8" spans="1:24">
      <c r="A8" s="5">
        <v>2025</v>
      </c>
      <c r="B8" s="6" t="s">
        <v>202</v>
      </c>
      <c r="C8" s="5" t="s">
        <v>204</v>
      </c>
      <c r="D8" s="5" t="s">
        <v>207</v>
      </c>
      <c r="E8" s="5" t="s">
        <v>210</v>
      </c>
      <c r="F8" s="5" t="s">
        <v>211</v>
      </c>
      <c r="G8" s="5" t="s">
        <v>213</v>
      </c>
      <c r="H8" s="7" t="s">
        <v>214</v>
      </c>
      <c r="I8" s="5" t="s">
        <v>87</v>
      </c>
      <c r="J8" s="5">
        <v>5400020250016</v>
      </c>
      <c r="K8" s="6" t="s">
        <v>215</v>
      </c>
      <c r="L8" s="8">
        <v>46022</v>
      </c>
      <c r="M8" s="9">
        <v>46482</v>
      </c>
      <c r="N8" s="12">
        <v>450000</v>
      </c>
      <c r="O8" s="12">
        <v>450000</v>
      </c>
      <c r="P8" s="12">
        <v>450000</v>
      </c>
      <c r="Q8" s="6" t="s">
        <v>76</v>
      </c>
      <c r="R8" s="12"/>
      <c r="S8" s="6" t="s">
        <v>41</v>
      </c>
      <c r="T8" s="6" t="s">
        <v>41</v>
      </c>
      <c r="U8" s="6"/>
      <c r="V8" s="7" t="s">
        <v>229</v>
      </c>
      <c r="W8" s="5" t="s">
        <v>230</v>
      </c>
      <c r="X8" s="9"/>
    </row>
    <row r="9" spans="1:24">
      <c r="A9" s="5">
        <v>2025</v>
      </c>
      <c r="B9" s="6" t="s">
        <v>238</v>
      </c>
      <c r="C9" s="5" t="s">
        <v>141</v>
      </c>
      <c r="D9" s="5" t="s">
        <v>150</v>
      </c>
      <c r="E9" s="5" t="s">
        <v>241</v>
      </c>
      <c r="F9" s="5" t="s">
        <v>242</v>
      </c>
      <c r="G9" s="5" t="s">
        <v>244</v>
      </c>
      <c r="H9" s="7" t="s">
        <v>136</v>
      </c>
      <c r="I9" s="5" t="s">
        <v>87</v>
      </c>
      <c r="J9" s="5">
        <v>5400020250016</v>
      </c>
      <c r="K9" s="6" t="s">
        <v>259</v>
      </c>
      <c r="L9" s="8">
        <v>46021</v>
      </c>
      <c r="M9" s="8">
        <v>46356</v>
      </c>
      <c r="N9" s="12">
        <v>450000</v>
      </c>
      <c r="O9" s="12">
        <v>450000</v>
      </c>
      <c r="P9" s="12">
        <v>450000</v>
      </c>
      <c r="Q9" s="6" t="s">
        <v>41</v>
      </c>
      <c r="R9" s="12">
        <v>450000</v>
      </c>
      <c r="S9" s="6" t="s">
        <v>41</v>
      </c>
      <c r="T9" s="6" t="s">
        <v>41</v>
      </c>
      <c r="U9" s="6"/>
      <c r="V9" s="7" t="s">
        <v>274</v>
      </c>
      <c r="W9" s="7" t="s">
        <v>281</v>
      </c>
      <c r="X9" s="9">
        <v>46163</v>
      </c>
    </row>
    <row r="10" spans="1:24">
      <c r="A10" s="5">
        <v>2025</v>
      </c>
      <c r="B10" s="6" t="s">
        <v>282</v>
      </c>
      <c r="C10" s="5" t="s">
        <v>141</v>
      </c>
      <c r="D10" s="5" t="s">
        <v>150</v>
      </c>
      <c r="E10" s="5" t="s">
        <v>283</v>
      </c>
      <c r="F10" s="5" t="s">
        <v>286</v>
      </c>
      <c r="G10" s="5" t="s">
        <v>287</v>
      </c>
      <c r="H10" s="7" t="s">
        <v>289</v>
      </c>
      <c r="I10" s="5" t="s">
        <v>87</v>
      </c>
      <c r="J10" s="5">
        <v>5400020250016</v>
      </c>
      <c r="K10" s="6" t="s">
        <v>293</v>
      </c>
      <c r="L10" s="8">
        <v>46021</v>
      </c>
      <c r="M10" s="9">
        <v>46296</v>
      </c>
      <c r="N10" s="12">
        <v>400000</v>
      </c>
      <c r="O10" s="12">
        <v>400000</v>
      </c>
      <c r="P10" s="12">
        <v>400000</v>
      </c>
      <c r="Q10" s="6" t="s">
        <v>41</v>
      </c>
      <c r="R10" s="12">
        <v>400000</v>
      </c>
      <c r="S10" s="6" t="s">
        <v>41</v>
      </c>
      <c r="T10" s="6" t="s">
        <v>41</v>
      </c>
      <c r="U10" s="6"/>
      <c r="V10" s="7" t="s">
        <v>294</v>
      </c>
      <c r="W10" s="7" t="s">
        <v>297</v>
      </c>
      <c r="X10" s="9">
        <v>46163</v>
      </c>
    </row>
    <row r="11" spans="1:24">
      <c r="A11" s="14">
        <v>2026</v>
      </c>
      <c r="B11" s="15" t="s">
        <v>301</v>
      </c>
      <c r="C11" s="14" t="s">
        <v>141</v>
      </c>
      <c r="D11" s="14" t="s">
        <v>304</v>
      </c>
      <c r="E11" s="14"/>
      <c r="F11" s="14" t="s">
        <v>308</v>
      </c>
      <c r="G11" s="14" t="s">
        <v>309</v>
      </c>
      <c r="H11" s="16" t="s">
        <v>310</v>
      </c>
      <c r="I11" s="14" t="s">
        <v>87</v>
      </c>
      <c r="J11" s="14">
        <v>5400020260023</v>
      </c>
      <c r="K11" s="15" t="s">
        <v>313</v>
      </c>
      <c r="L11" s="17">
        <v>46178</v>
      </c>
      <c r="M11" s="17">
        <v>46542</v>
      </c>
      <c r="N11" s="18">
        <v>2500000</v>
      </c>
      <c r="O11" s="18">
        <v>2500000</v>
      </c>
      <c r="P11" s="18"/>
      <c r="Q11" s="15" t="s">
        <v>76</v>
      </c>
      <c r="R11" s="18"/>
      <c r="S11" s="15" t="s">
        <v>76</v>
      </c>
      <c r="T11" s="15" t="s">
        <v>76</v>
      </c>
      <c r="U11" s="15" t="s">
        <v>316</v>
      </c>
      <c r="V11" s="7" t="s">
        <v>317</v>
      </c>
      <c r="W11" s="7" t="s">
        <v>318</v>
      </c>
      <c r="X11" s="9"/>
    </row>
    <row r="12" spans="1:24">
      <c r="A12" s="5">
        <v>2026</v>
      </c>
      <c r="B12" s="6" t="s">
        <v>320</v>
      </c>
      <c r="C12" s="5" t="s">
        <v>323</v>
      </c>
      <c r="D12" s="5" t="s">
        <v>325</v>
      </c>
      <c r="E12" s="5" t="s">
        <v>326</v>
      </c>
      <c r="F12" s="5" t="s">
        <v>328</v>
      </c>
      <c r="G12" s="5" t="s">
        <v>329</v>
      </c>
      <c r="H12" s="7" t="s">
        <v>136</v>
      </c>
      <c r="I12" s="5" t="s">
        <v>87</v>
      </c>
      <c r="J12" s="5">
        <v>5400020260023</v>
      </c>
      <c r="K12" s="6" t="s">
        <v>330</v>
      </c>
      <c r="L12" s="9">
        <v>46222</v>
      </c>
      <c r="M12" s="9">
        <v>46586</v>
      </c>
      <c r="N12" s="12">
        <v>2500000</v>
      </c>
      <c r="O12" s="12">
        <v>2500000</v>
      </c>
      <c r="P12" s="12">
        <v>2500000</v>
      </c>
      <c r="Q12" s="6" t="s">
        <v>76</v>
      </c>
      <c r="R12" s="12"/>
      <c r="S12" s="6" t="s">
        <v>76</v>
      </c>
      <c r="T12" s="6" t="s">
        <v>76</v>
      </c>
      <c r="U12" s="6" t="s">
        <v>336</v>
      </c>
      <c r="V12" s="7" t="s">
        <v>337</v>
      </c>
      <c r="W12" s="7" t="s">
        <v>338</v>
      </c>
      <c r="X12" s="9"/>
    </row>
    <row r="13" spans="1:24">
      <c r="A13" s="5">
        <v>2026</v>
      </c>
      <c r="B13" s="6" t="s">
        <v>339</v>
      </c>
      <c r="C13" s="5" t="s">
        <v>141</v>
      </c>
      <c r="D13" s="5" t="s">
        <v>150</v>
      </c>
      <c r="E13" s="5" t="s">
        <v>340</v>
      </c>
      <c r="F13" s="5" t="s">
        <v>341</v>
      </c>
      <c r="G13" s="5" t="s">
        <v>342</v>
      </c>
      <c r="H13" s="7" t="s">
        <v>343</v>
      </c>
      <c r="I13" s="5" t="s">
        <v>37</v>
      </c>
      <c r="J13" s="5">
        <v>5400020260009</v>
      </c>
      <c r="K13" s="6" t="s">
        <v>344</v>
      </c>
      <c r="L13" s="9">
        <v>46174</v>
      </c>
      <c r="M13" s="9">
        <v>46539</v>
      </c>
      <c r="N13" s="12">
        <v>250000</v>
      </c>
      <c r="O13" s="12">
        <v>250000</v>
      </c>
      <c r="P13" s="12">
        <v>250000</v>
      </c>
      <c r="Q13" s="6" t="s">
        <v>76</v>
      </c>
      <c r="R13" s="12"/>
      <c r="S13" s="6" t="s">
        <v>76</v>
      </c>
      <c r="T13" s="6" t="s">
        <v>76</v>
      </c>
      <c r="U13" s="6" t="s">
        <v>349</v>
      </c>
      <c r="V13" s="7" t="s">
        <v>350</v>
      </c>
      <c r="W13" s="7" t="s">
        <v>351</v>
      </c>
      <c r="X13" s="9"/>
    </row>
    <row r="14" spans="1:24">
      <c r="A14" s="5">
        <v>2026</v>
      </c>
      <c r="B14" s="6" t="s">
        <v>352</v>
      </c>
      <c r="C14" s="5" t="s">
        <v>141</v>
      </c>
      <c r="D14" s="5" t="s">
        <v>150</v>
      </c>
      <c r="E14" s="5" t="s">
        <v>355</v>
      </c>
      <c r="F14" s="5" t="s">
        <v>356</v>
      </c>
      <c r="G14" s="5" t="s">
        <v>357</v>
      </c>
      <c r="H14" s="7" t="s">
        <v>136</v>
      </c>
      <c r="I14" s="5" t="s">
        <v>37</v>
      </c>
      <c r="J14" s="5">
        <v>5400020260009</v>
      </c>
      <c r="K14" s="6" t="s">
        <v>259</v>
      </c>
      <c r="L14" s="9">
        <v>46357</v>
      </c>
      <c r="M14" s="9">
        <v>46660</v>
      </c>
      <c r="N14" s="12">
        <v>500000</v>
      </c>
      <c r="O14" s="12">
        <v>500000</v>
      </c>
      <c r="P14" s="12"/>
      <c r="Q14" s="6" t="s">
        <v>76</v>
      </c>
      <c r="R14" s="12"/>
      <c r="S14" s="6" t="s">
        <v>76</v>
      </c>
      <c r="T14" s="6" t="s">
        <v>76</v>
      </c>
      <c r="U14" s="6" t="s">
        <v>361</v>
      </c>
      <c r="V14" s="7" t="s">
        <v>274</v>
      </c>
      <c r="W14" s="7" t="s">
        <v>281</v>
      </c>
      <c r="X14" s="9"/>
    </row>
    <row r="15" spans="1:24">
      <c r="J15" s="19"/>
    </row>
    <row r="16" spans="1:24">
      <c r="J16" s="19"/>
    </row>
    <row r="17" spans="10:10">
      <c r="J17" s="19"/>
    </row>
    <row r="18" spans="10:10">
      <c r="J18" s="19"/>
    </row>
    <row r="19" spans="10:10">
      <c r="J19" s="19"/>
    </row>
    <row r="20" spans="10:10">
      <c r="J20" s="19"/>
    </row>
    <row r="21" spans="10:10">
      <c r="J21" s="19"/>
    </row>
    <row r="22" spans="10:10">
      <c r="J22" s="19"/>
    </row>
    <row r="23" spans="10:10">
      <c r="J23" s="19"/>
    </row>
    <row r="24" spans="10:10">
      <c r="J24" s="19"/>
    </row>
    <row r="25" spans="10:10">
      <c r="J25" s="19"/>
    </row>
    <row r="26" spans="10:10">
      <c r="J26" s="19"/>
    </row>
    <row r="27" spans="10:10">
      <c r="J27" s="19"/>
    </row>
    <row r="28" spans="10:10">
      <c r="J28" s="19"/>
    </row>
    <row r="29" spans="10:10">
      <c r="J29" s="19"/>
    </row>
    <row r="30" spans="10:10">
      <c r="J30" s="19"/>
    </row>
    <row r="31" spans="10:10">
      <c r="J31" s="19"/>
    </row>
    <row r="32" spans="10:10">
      <c r="J32" s="19"/>
    </row>
    <row r="33" spans="10:10">
      <c r="J33" s="19"/>
    </row>
    <row r="34" spans="10:10">
      <c r="J34" s="19"/>
    </row>
    <row r="35" spans="10:10">
      <c r="J35" s="19"/>
    </row>
    <row r="36" spans="10:10">
      <c r="J36" s="19"/>
    </row>
    <row r="37" spans="10:10">
      <c r="J37" s="19"/>
    </row>
    <row r="38" spans="10:10">
      <c r="J38" s="19"/>
    </row>
    <row r="39" spans="10:10">
      <c r="J39" s="19"/>
    </row>
    <row r="40" spans="10:10">
      <c r="J40" s="19"/>
    </row>
    <row r="41" spans="10:10">
      <c r="J41" s="19"/>
    </row>
    <row r="42" spans="10:10">
      <c r="J42" s="19"/>
    </row>
    <row r="43" spans="10:10">
      <c r="J43" s="19"/>
    </row>
    <row r="44" spans="10:10">
      <c r="J44" s="19"/>
    </row>
    <row r="45" spans="10:10">
      <c r="J45" s="19"/>
    </row>
    <row r="46" spans="10:10">
      <c r="J46" s="19"/>
    </row>
    <row r="47" spans="10:10">
      <c r="J47" s="19"/>
    </row>
    <row r="48" spans="10:10">
      <c r="J48" s="19"/>
    </row>
    <row r="49" spans="10:10">
      <c r="J49" s="19"/>
    </row>
    <row r="50" spans="10:10">
      <c r="J50" s="19"/>
    </row>
    <row r="51" spans="10:10">
      <c r="J51" s="19"/>
    </row>
    <row r="52" spans="10:10">
      <c r="J52" s="19"/>
    </row>
    <row r="53" spans="10:10">
      <c r="J53" s="19"/>
    </row>
    <row r="54" spans="10:10">
      <c r="J54" s="19"/>
    </row>
    <row r="55" spans="10:10">
      <c r="J55" s="19"/>
    </row>
    <row r="56" spans="10:10">
      <c r="J56" s="19"/>
    </row>
    <row r="57" spans="10:10">
      <c r="J57" s="19"/>
    </row>
    <row r="58" spans="10:10">
      <c r="J58" s="19"/>
    </row>
    <row r="59" spans="10:10">
      <c r="J59" s="19"/>
    </row>
    <row r="60" spans="10:10">
      <c r="J60" s="19"/>
    </row>
    <row r="61" spans="10:10">
      <c r="J61" s="19"/>
    </row>
    <row r="62" spans="10:10">
      <c r="J62" s="19"/>
    </row>
    <row r="63" spans="10:10">
      <c r="J63" s="19"/>
    </row>
    <row r="64" spans="10:10">
      <c r="J64" s="19"/>
    </row>
    <row r="65" spans="10:10">
      <c r="J65" s="19"/>
    </row>
    <row r="66" spans="10:10">
      <c r="J66" s="19"/>
    </row>
    <row r="67" spans="10:10">
      <c r="J67" s="19"/>
    </row>
    <row r="68" spans="10:10">
      <c r="J68" s="19"/>
    </row>
    <row r="69" spans="10:10">
      <c r="J69" s="19"/>
    </row>
    <row r="70" spans="10:10">
      <c r="J70" s="19"/>
    </row>
    <row r="71" spans="10:10">
      <c r="J71" s="19"/>
    </row>
    <row r="72" spans="10:10">
      <c r="J72" s="19"/>
    </row>
    <row r="73" spans="10:10">
      <c r="J73" s="19"/>
    </row>
    <row r="74" spans="10:10">
      <c r="J74" s="19"/>
    </row>
    <row r="75" spans="10:10">
      <c r="J75" s="19"/>
    </row>
    <row r="76" spans="10:10">
      <c r="J76" s="19"/>
    </row>
    <row r="77" spans="10:10">
      <c r="J77" s="19"/>
    </row>
    <row r="78" spans="10:10">
      <c r="J78" s="19"/>
    </row>
    <row r="79" spans="10:10">
      <c r="J79" s="19"/>
    </row>
    <row r="80" spans="10:10">
      <c r="J80" s="19"/>
    </row>
    <row r="81" spans="10:10">
      <c r="J81" s="19"/>
    </row>
    <row r="82" spans="10:10">
      <c r="J82" s="19"/>
    </row>
    <row r="83" spans="10:10">
      <c r="J83" s="19"/>
    </row>
    <row r="84" spans="10:10">
      <c r="J84" s="19"/>
    </row>
    <row r="85" spans="10:10">
      <c r="J85" s="19"/>
    </row>
    <row r="86" spans="10:10">
      <c r="J86" s="19"/>
    </row>
    <row r="87" spans="10:10">
      <c r="J87" s="19"/>
    </row>
    <row r="88" spans="10:10">
      <c r="J88" s="19"/>
    </row>
    <row r="89" spans="10:10">
      <c r="J89" s="19"/>
    </row>
    <row r="90" spans="10:10">
      <c r="J90" s="19"/>
    </row>
    <row r="91" spans="10:10">
      <c r="J91" s="19"/>
    </row>
    <row r="92" spans="10:10">
      <c r="J92" s="19"/>
    </row>
    <row r="93" spans="10:10">
      <c r="J93" s="19"/>
    </row>
    <row r="94" spans="10:10">
      <c r="J94" s="19"/>
    </row>
    <row r="95" spans="10:10">
      <c r="J95" s="19"/>
    </row>
    <row r="96" spans="10:10">
      <c r="J96" s="19"/>
    </row>
    <row r="97" spans="10:10">
      <c r="J97" s="19"/>
    </row>
    <row r="98" spans="10:10">
      <c r="J98" s="19"/>
    </row>
    <row r="99" spans="10:10">
      <c r="J99" s="19"/>
    </row>
    <row r="100" spans="10:10">
      <c r="J100" s="19"/>
    </row>
    <row r="101" spans="10:10">
      <c r="J101" s="19"/>
    </row>
    <row r="102" spans="10:10">
      <c r="J102" s="19"/>
    </row>
    <row r="103" spans="10:10">
      <c r="J103" s="19"/>
    </row>
    <row r="104" spans="10:10">
      <c r="J104" s="19"/>
    </row>
    <row r="105" spans="10:10">
      <c r="J105" s="19"/>
    </row>
    <row r="106" spans="10:10">
      <c r="J106" s="19"/>
    </row>
    <row r="107" spans="10:10">
      <c r="J107" s="19"/>
    </row>
    <row r="108" spans="10:10">
      <c r="J108" s="19"/>
    </row>
    <row r="109" spans="10:10">
      <c r="J109" s="19"/>
    </row>
    <row r="110" spans="10:10">
      <c r="J110" s="19"/>
    </row>
    <row r="111" spans="10:10">
      <c r="J111" s="19"/>
    </row>
    <row r="112" spans="10:10">
      <c r="J112" s="19"/>
    </row>
    <row r="113" spans="10:10">
      <c r="J113" s="19"/>
    </row>
    <row r="114" spans="10:10">
      <c r="J114" s="19"/>
    </row>
    <row r="115" spans="10:10">
      <c r="J115" s="19"/>
    </row>
    <row r="116" spans="10:10">
      <c r="J116" s="19"/>
    </row>
    <row r="117" spans="10:10">
      <c r="J117" s="19"/>
    </row>
    <row r="118" spans="10:10">
      <c r="J118" s="19"/>
    </row>
    <row r="119" spans="10:10">
      <c r="J119" s="19"/>
    </row>
    <row r="120" spans="10:10">
      <c r="J120" s="19"/>
    </row>
    <row r="121" spans="10:10">
      <c r="J121" s="19"/>
    </row>
    <row r="122" spans="10:10">
      <c r="J122" s="19"/>
    </row>
    <row r="123" spans="10:10">
      <c r="J123" s="19"/>
    </row>
    <row r="124" spans="10:10">
      <c r="J124" s="19"/>
    </row>
    <row r="125" spans="10:10">
      <c r="J125" s="19"/>
    </row>
    <row r="126" spans="10:10">
      <c r="J126" s="19"/>
    </row>
    <row r="127" spans="10:10">
      <c r="J127" s="19"/>
    </row>
    <row r="128" spans="10:10">
      <c r="J128" s="19"/>
    </row>
    <row r="129" spans="10:10">
      <c r="J129" s="19"/>
    </row>
    <row r="130" spans="10:10">
      <c r="J130" s="19"/>
    </row>
    <row r="131" spans="10:10">
      <c r="J131" s="19"/>
    </row>
    <row r="132" spans="10:10">
      <c r="J132" s="19"/>
    </row>
    <row r="133" spans="10:10">
      <c r="J133" s="19"/>
    </row>
    <row r="134" spans="10:10">
      <c r="J134" s="19"/>
    </row>
    <row r="135" spans="10:10">
      <c r="J135" s="19"/>
    </row>
    <row r="136" spans="10:10">
      <c r="J136" s="19"/>
    </row>
    <row r="137" spans="10:10">
      <c r="J137" s="19"/>
    </row>
    <row r="138" spans="10:10">
      <c r="J138" s="19"/>
    </row>
    <row r="139" spans="10:10">
      <c r="J139" s="19"/>
    </row>
    <row r="140" spans="10:10">
      <c r="J140" s="19"/>
    </row>
    <row r="141" spans="10:10">
      <c r="J141" s="19"/>
    </row>
    <row r="142" spans="10:10">
      <c r="J142" s="19"/>
    </row>
    <row r="143" spans="10:10">
      <c r="J143" s="19"/>
    </row>
    <row r="144" spans="10:10">
      <c r="J144" s="19"/>
    </row>
    <row r="145" spans="10:10">
      <c r="J145" s="19"/>
    </row>
    <row r="146" spans="10:10">
      <c r="J146" s="19"/>
    </row>
    <row r="147" spans="10:10">
      <c r="J147" s="19"/>
    </row>
    <row r="148" spans="10:10">
      <c r="J148" s="19"/>
    </row>
    <row r="149" spans="10:10">
      <c r="J149" s="19"/>
    </row>
    <row r="150" spans="10:10">
      <c r="J150" s="19"/>
    </row>
    <row r="151" spans="10:10">
      <c r="J151" s="19"/>
    </row>
    <row r="152" spans="10:10">
      <c r="J152" s="19"/>
    </row>
    <row r="153" spans="10:10">
      <c r="J153" s="19"/>
    </row>
    <row r="154" spans="10:10">
      <c r="J154" s="19"/>
    </row>
    <row r="155" spans="10:10">
      <c r="J155" s="19"/>
    </row>
    <row r="156" spans="10:10">
      <c r="J156" s="19"/>
    </row>
    <row r="157" spans="10:10">
      <c r="J157" s="19"/>
    </row>
    <row r="158" spans="10:10">
      <c r="J158" s="19"/>
    </row>
    <row r="159" spans="10:10">
      <c r="J159" s="19"/>
    </row>
    <row r="160" spans="10:10">
      <c r="J160" s="19"/>
    </row>
    <row r="161" spans="10:10">
      <c r="J161" s="19"/>
    </row>
    <row r="162" spans="10:10">
      <c r="J162" s="19"/>
    </row>
    <row r="163" spans="10:10">
      <c r="J163" s="19"/>
    </row>
    <row r="164" spans="10:10">
      <c r="J164" s="19"/>
    </row>
    <row r="165" spans="10:10">
      <c r="J165" s="19"/>
    </row>
    <row r="166" spans="10:10">
      <c r="J166" s="19"/>
    </row>
    <row r="167" spans="10:10">
      <c r="J167" s="19"/>
    </row>
    <row r="168" spans="10:10">
      <c r="J168" s="19"/>
    </row>
    <row r="169" spans="10:10">
      <c r="J169" s="19"/>
    </row>
    <row r="170" spans="10:10">
      <c r="J170" s="19"/>
    </row>
    <row r="171" spans="10:10">
      <c r="J171" s="19"/>
    </row>
    <row r="172" spans="10:10">
      <c r="J172" s="19"/>
    </row>
    <row r="173" spans="10:10">
      <c r="J173" s="19"/>
    </row>
    <row r="174" spans="10:10">
      <c r="J174" s="19"/>
    </row>
    <row r="175" spans="10:10">
      <c r="J175" s="19"/>
    </row>
    <row r="176" spans="10:10">
      <c r="J176" s="19"/>
    </row>
    <row r="177" spans="10:10">
      <c r="J177" s="19"/>
    </row>
    <row r="178" spans="10:10">
      <c r="J178" s="19"/>
    </row>
    <row r="179" spans="10:10">
      <c r="J179" s="19"/>
    </row>
    <row r="180" spans="10:10">
      <c r="J180" s="19"/>
    </row>
    <row r="181" spans="10:10">
      <c r="J181" s="19"/>
    </row>
    <row r="182" spans="10:10">
      <c r="J182" s="19"/>
    </row>
    <row r="183" spans="10:10">
      <c r="J183" s="19"/>
    </row>
    <row r="184" spans="10:10">
      <c r="J184" s="19"/>
    </row>
    <row r="185" spans="10:10">
      <c r="J185" s="19"/>
    </row>
    <row r="186" spans="10:10">
      <c r="J186" s="19"/>
    </row>
    <row r="187" spans="10:10">
      <c r="J187" s="19"/>
    </row>
    <row r="188" spans="10:10">
      <c r="J188" s="19"/>
    </row>
    <row r="189" spans="10:10">
      <c r="J189" s="19"/>
    </row>
    <row r="190" spans="10:10">
      <c r="J190" s="19"/>
    </row>
    <row r="191" spans="10:10">
      <c r="J191" s="19"/>
    </row>
    <row r="192" spans="10:10">
      <c r="J192" s="19"/>
    </row>
    <row r="193" spans="10:10">
      <c r="J193" s="19"/>
    </row>
    <row r="194" spans="10:10">
      <c r="J194" s="19"/>
    </row>
    <row r="195" spans="10:10">
      <c r="J195" s="19"/>
    </row>
    <row r="196" spans="10:10">
      <c r="J196" s="19"/>
    </row>
    <row r="197" spans="10:10">
      <c r="J197" s="19"/>
    </row>
    <row r="198" spans="10:10">
      <c r="J198" s="19"/>
    </row>
    <row r="199" spans="10:10">
      <c r="J199" s="19"/>
    </row>
    <row r="200" spans="10:10">
      <c r="J200" s="19"/>
    </row>
    <row r="201" spans="10:10">
      <c r="J201" s="19"/>
    </row>
    <row r="202" spans="10:10">
      <c r="J202" s="19"/>
    </row>
    <row r="203" spans="10:10">
      <c r="J203" s="19"/>
    </row>
    <row r="204" spans="10:10">
      <c r="J204" s="19"/>
    </row>
    <row r="205" spans="10:10">
      <c r="J205" s="19"/>
    </row>
    <row r="206" spans="10:10">
      <c r="J206" s="19"/>
    </row>
    <row r="207" spans="10:10">
      <c r="J207" s="19"/>
    </row>
    <row r="208" spans="10:10">
      <c r="J208" s="19"/>
    </row>
    <row r="209" spans="10:10">
      <c r="J209" s="19"/>
    </row>
    <row r="210" spans="10:10">
      <c r="J210" s="19"/>
    </row>
    <row r="211" spans="10:10">
      <c r="J211" s="19"/>
    </row>
    <row r="212" spans="10:10">
      <c r="J212" s="19"/>
    </row>
    <row r="213" spans="10:10">
      <c r="J213" s="19"/>
    </row>
    <row r="214" spans="10:10">
      <c r="J214" s="19"/>
    </row>
    <row r="215" spans="10:10">
      <c r="J215" s="19"/>
    </row>
    <row r="216" spans="10:10">
      <c r="J216" s="19"/>
    </row>
    <row r="217" spans="10:10">
      <c r="J217" s="19"/>
    </row>
    <row r="218" spans="10:10">
      <c r="J218" s="19"/>
    </row>
    <row r="219" spans="10:10">
      <c r="J219" s="19"/>
    </row>
    <row r="220" spans="10:10">
      <c r="J220" s="19"/>
    </row>
    <row r="221" spans="10:10">
      <c r="J221" s="19"/>
    </row>
    <row r="222" spans="10:10">
      <c r="J222" s="19"/>
    </row>
    <row r="223" spans="10:10">
      <c r="J223" s="19"/>
    </row>
    <row r="224" spans="10:10">
      <c r="J224" s="19"/>
    </row>
    <row r="225" spans="10:10">
      <c r="J225" s="19"/>
    </row>
    <row r="226" spans="10:10">
      <c r="J226" s="19"/>
    </row>
    <row r="227" spans="10:10">
      <c r="J227" s="19"/>
    </row>
    <row r="228" spans="10:10">
      <c r="J228" s="19"/>
    </row>
    <row r="229" spans="10:10">
      <c r="J229" s="19"/>
    </row>
    <row r="230" spans="10:10">
      <c r="J230" s="19"/>
    </row>
    <row r="231" spans="10:10">
      <c r="J231" s="19"/>
    </row>
    <row r="232" spans="10:10">
      <c r="J232" s="19"/>
    </row>
    <row r="233" spans="10:10">
      <c r="J233" s="19"/>
    </row>
    <row r="234" spans="10:10">
      <c r="J234" s="19"/>
    </row>
    <row r="235" spans="10:10">
      <c r="J235" s="19"/>
    </row>
    <row r="236" spans="10:10">
      <c r="J236" s="19"/>
    </row>
    <row r="237" spans="10:10">
      <c r="J237" s="19"/>
    </row>
    <row r="238" spans="10:10">
      <c r="J238" s="19"/>
    </row>
    <row r="239" spans="10:10">
      <c r="J239" s="19"/>
    </row>
    <row r="240" spans="10:10">
      <c r="J240" s="19"/>
    </row>
    <row r="241" spans="10:10">
      <c r="J241" s="19"/>
    </row>
    <row r="242" spans="10:10">
      <c r="J242" s="19"/>
    </row>
    <row r="243" spans="10:10">
      <c r="J243" s="19"/>
    </row>
    <row r="244" spans="10:10">
      <c r="J244" s="19"/>
    </row>
    <row r="245" spans="10:10">
      <c r="J245" s="19"/>
    </row>
    <row r="246" spans="10:10">
      <c r="J246" s="19"/>
    </row>
    <row r="247" spans="10:10">
      <c r="J247" s="19"/>
    </row>
    <row r="248" spans="10:10">
      <c r="J248" s="19"/>
    </row>
    <row r="249" spans="10:10">
      <c r="J249" s="19"/>
    </row>
    <row r="250" spans="10:10">
      <c r="J250" s="19"/>
    </row>
    <row r="251" spans="10:10">
      <c r="J251" s="19"/>
    </row>
    <row r="252" spans="10:10">
      <c r="J252" s="19"/>
    </row>
    <row r="253" spans="10:10">
      <c r="J253" s="19"/>
    </row>
    <row r="254" spans="10:10">
      <c r="J254" s="19"/>
    </row>
    <row r="255" spans="10:10">
      <c r="J255" s="19"/>
    </row>
    <row r="256" spans="10:10">
      <c r="J256" s="19"/>
    </row>
    <row r="257" spans="10:10">
      <c r="J257" s="19"/>
    </row>
    <row r="258" spans="10:10">
      <c r="J258" s="19"/>
    </row>
    <row r="259" spans="10:10">
      <c r="J259" s="19"/>
    </row>
    <row r="260" spans="10:10">
      <c r="J260" s="19"/>
    </row>
    <row r="261" spans="10:10">
      <c r="J261" s="19"/>
    </row>
    <row r="262" spans="10:10">
      <c r="J262" s="19"/>
    </row>
    <row r="263" spans="10:10">
      <c r="J263" s="19"/>
    </row>
    <row r="264" spans="10:10">
      <c r="J264" s="19"/>
    </row>
    <row r="265" spans="10:10">
      <c r="J265" s="19"/>
    </row>
    <row r="266" spans="10:10">
      <c r="J266" s="19"/>
    </row>
    <row r="267" spans="10:10">
      <c r="J267" s="19"/>
    </row>
    <row r="268" spans="10:10">
      <c r="J268" s="19"/>
    </row>
    <row r="269" spans="10:10">
      <c r="J269" s="19"/>
    </row>
    <row r="270" spans="10:10">
      <c r="J270" s="19"/>
    </row>
    <row r="271" spans="10:10">
      <c r="J271" s="19"/>
    </row>
    <row r="272" spans="10:10">
      <c r="J272" s="19"/>
    </row>
    <row r="273" spans="10:10">
      <c r="J273" s="19"/>
    </row>
    <row r="274" spans="10:10">
      <c r="J274" s="19"/>
    </row>
    <row r="275" spans="10:10">
      <c r="J275" s="19"/>
    </row>
    <row r="276" spans="10:10">
      <c r="J276" s="19"/>
    </row>
    <row r="277" spans="10:10">
      <c r="J277" s="19"/>
    </row>
    <row r="278" spans="10:10">
      <c r="J278" s="19"/>
    </row>
    <row r="279" spans="10:10">
      <c r="J279" s="19"/>
    </row>
    <row r="280" spans="10:10">
      <c r="J280" s="19"/>
    </row>
    <row r="281" spans="10:10">
      <c r="J281" s="19"/>
    </row>
    <row r="282" spans="10:10">
      <c r="J282" s="19"/>
    </row>
    <row r="283" spans="10:10">
      <c r="J283" s="19"/>
    </row>
    <row r="284" spans="10:10">
      <c r="J284" s="19"/>
    </row>
    <row r="285" spans="10:10">
      <c r="J285" s="19"/>
    </row>
    <row r="286" spans="10:10">
      <c r="J286" s="19"/>
    </row>
    <row r="287" spans="10:10">
      <c r="J287" s="19"/>
    </row>
    <row r="288" spans="10:10">
      <c r="J288" s="19"/>
    </row>
    <row r="289" spans="10:10">
      <c r="J289" s="19"/>
    </row>
    <row r="290" spans="10:10">
      <c r="J290" s="19"/>
    </row>
    <row r="291" spans="10:10">
      <c r="J291" s="19"/>
    </row>
    <row r="292" spans="10:10">
      <c r="J292" s="19"/>
    </row>
    <row r="293" spans="10:10">
      <c r="J293" s="19"/>
    </row>
    <row r="294" spans="10:10">
      <c r="J294" s="19"/>
    </row>
    <row r="295" spans="10:10">
      <c r="J295" s="19"/>
    </row>
    <row r="296" spans="10:10">
      <c r="J296" s="19"/>
    </row>
    <row r="297" spans="10:10">
      <c r="J297" s="19"/>
    </row>
    <row r="298" spans="10:10">
      <c r="J298" s="19"/>
    </row>
    <row r="299" spans="10:10">
      <c r="J299" s="19"/>
    </row>
    <row r="300" spans="10:10">
      <c r="J300" s="19"/>
    </row>
    <row r="301" spans="10:10">
      <c r="J301" s="19"/>
    </row>
    <row r="302" spans="10:10">
      <c r="J302" s="19"/>
    </row>
    <row r="303" spans="10:10">
      <c r="J303" s="19"/>
    </row>
    <row r="304" spans="10:10">
      <c r="J304" s="19"/>
    </row>
    <row r="305" spans="10:10">
      <c r="J305" s="19"/>
    </row>
    <row r="306" spans="10:10">
      <c r="J306" s="19"/>
    </row>
    <row r="307" spans="10:10">
      <c r="J307" s="19"/>
    </row>
    <row r="308" spans="10:10">
      <c r="J308" s="19"/>
    </row>
    <row r="309" spans="10:10">
      <c r="J309" s="19"/>
    </row>
    <row r="310" spans="10:10">
      <c r="J310" s="19"/>
    </row>
    <row r="311" spans="10:10">
      <c r="J311" s="19"/>
    </row>
    <row r="312" spans="10:10">
      <c r="J312" s="19"/>
    </row>
    <row r="313" spans="10:10">
      <c r="J313" s="19"/>
    </row>
    <row r="314" spans="10:10">
      <c r="J314" s="19"/>
    </row>
    <row r="315" spans="10:10">
      <c r="J315" s="19"/>
    </row>
    <row r="316" spans="10:10">
      <c r="J316" s="19"/>
    </row>
    <row r="317" spans="10:10">
      <c r="J317" s="19"/>
    </row>
    <row r="318" spans="10:10">
      <c r="J318" s="19"/>
    </row>
    <row r="319" spans="10:10">
      <c r="J319" s="19"/>
    </row>
    <row r="320" spans="10:10">
      <c r="J320" s="19"/>
    </row>
    <row r="321" spans="10:10">
      <c r="J321" s="19"/>
    </row>
    <row r="322" spans="10:10">
      <c r="J322" s="19"/>
    </row>
    <row r="323" spans="10:10">
      <c r="J323" s="19"/>
    </row>
    <row r="324" spans="10:10">
      <c r="J324" s="19"/>
    </row>
    <row r="325" spans="10:10">
      <c r="J325" s="19"/>
    </row>
    <row r="326" spans="10:10">
      <c r="J326" s="19"/>
    </row>
    <row r="327" spans="10:10">
      <c r="J327" s="19"/>
    </row>
    <row r="328" spans="10:10">
      <c r="J328" s="19"/>
    </row>
    <row r="329" spans="10:10">
      <c r="J329" s="19"/>
    </row>
    <row r="330" spans="10:10">
      <c r="J330" s="19"/>
    </row>
    <row r="331" spans="10:10">
      <c r="J331" s="19"/>
    </row>
    <row r="332" spans="10:10">
      <c r="J332" s="19"/>
    </row>
    <row r="333" spans="10:10">
      <c r="J333" s="19"/>
    </row>
    <row r="334" spans="10:10">
      <c r="J334" s="19"/>
    </row>
    <row r="335" spans="10:10">
      <c r="J335" s="19"/>
    </row>
    <row r="336" spans="10:10">
      <c r="J336" s="19"/>
    </row>
    <row r="337" spans="10:10">
      <c r="J337" s="19"/>
    </row>
    <row r="338" spans="10:10">
      <c r="J338" s="19"/>
    </row>
    <row r="339" spans="10:10">
      <c r="J339" s="19"/>
    </row>
    <row r="340" spans="10:10">
      <c r="J340" s="19"/>
    </row>
    <row r="341" spans="10:10">
      <c r="J341" s="19"/>
    </row>
    <row r="342" spans="10:10">
      <c r="J342" s="19"/>
    </row>
    <row r="343" spans="10:10">
      <c r="J343" s="19"/>
    </row>
    <row r="344" spans="10:10">
      <c r="J344" s="19"/>
    </row>
    <row r="345" spans="10:10">
      <c r="J345" s="19"/>
    </row>
    <row r="346" spans="10:10">
      <c r="J346" s="19"/>
    </row>
    <row r="347" spans="10:10">
      <c r="J347" s="19"/>
    </row>
    <row r="348" spans="10:10">
      <c r="J348" s="19"/>
    </row>
    <row r="349" spans="10:10">
      <c r="J349" s="19"/>
    </row>
    <row r="350" spans="10:10">
      <c r="J350" s="19"/>
    </row>
    <row r="351" spans="10:10">
      <c r="J351" s="19"/>
    </row>
    <row r="352" spans="10:10">
      <c r="J352" s="19"/>
    </row>
    <row r="353" spans="10:10">
      <c r="J353" s="19"/>
    </row>
    <row r="354" spans="10:10">
      <c r="J354" s="19"/>
    </row>
    <row r="355" spans="10:10">
      <c r="J355" s="19"/>
    </row>
    <row r="356" spans="10:10">
      <c r="J356" s="19"/>
    </row>
    <row r="357" spans="10:10">
      <c r="J357" s="19"/>
    </row>
    <row r="358" spans="10:10">
      <c r="J358" s="19"/>
    </row>
    <row r="359" spans="10:10">
      <c r="J359" s="19"/>
    </row>
    <row r="360" spans="10:10">
      <c r="J360" s="19"/>
    </row>
    <row r="361" spans="10:10">
      <c r="J361" s="19"/>
    </row>
    <row r="362" spans="10:10">
      <c r="J362" s="19"/>
    </row>
    <row r="363" spans="10:10">
      <c r="J363" s="19"/>
    </row>
    <row r="364" spans="10:10">
      <c r="J364" s="19"/>
    </row>
    <row r="365" spans="10:10">
      <c r="J365" s="19"/>
    </row>
    <row r="366" spans="10:10">
      <c r="J366" s="19"/>
    </row>
    <row r="367" spans="10:10">
      <c r="J367" s="19"/>
    </row>
    <row r="368" spans="10:10">
      <c r="J368" s="19"/>
    </row>
    <row r="369" spans="10:10">
      <c r="J369" s="19"/>
    </row>
    <row r="370" spans="10:10">
      <c r="J370" s="19"/>
    </row>
    <row r="371" spans="10:10">
      <c r="J371" s="19"/>
    </row>
    <row r="372" spans="10:10">
      <c r="J372" s="19"/>
    </row>
    <row r="373" spans="10:10">
      <c r="J373" s="19"/>
    </row>
    <row r="374" spans="10:10">
      <c r="J374" s="19"/>
    </row>
    <row r="375" spans="10:10">
      <c r="J375" s="19"/>
    </row>
    <row r="376" spans="10:10">
      <c r="J376" s="19"/>
    </row>
    <row r="377" spans="10:10">
      <c r="J377" s="19"/>
    </row>
    <row r="378" spans="10:10">
      <c r="J378" s="19"/>
    </row>
    <row r="379" spans="10:10">
      <c r="J379" s="19"/>
    </row>
    <row r="380" spans="10:10">
      <c r="J380" s="19"/>
    </row>
    <row r="381" spans="10:10">
      <c r="J381" s="19"/>
    </row>
    <row r="382" spans="10:10">
      <c r="J382" s="19"/>
    </row>
    <row r="383" spans="10:10">
      <c r="J383" s="19"/>
    </row>
    <row r="384" spans="10:10">
      <c r="J384" s="19"/>
    </row>
    <row r="385" spans="10:10">
      <c r="J385" s="19"/>
    </row>
    <row r="386" spans="10:10">
      <c r="J386" s="19"/>
    </row>
    <row r="387" spans="10:10">
      <c r="J387" s="19"/>
    </row>
    <row r="388" spans="10:10">
      <c r="J388" s="19"/>
    </row>
    <row r="389" spans="10:10">
      <c r="J389" s="19"/>
    </row>
    <row r="390" spans="10:10">
      <c r="J390" s="19"/>
    </row>
    <row r="391" spans="10:10">
      <c r="J391" s="19"/>
    </row>
    <row r="392" spans="10:10">
      <c r="J392" s="19"/>
    </row>
    <row r="393" spans="10:10">
      <c r="J393" s="19"/>
    </row>
    <row r="394" spans="10:10">
      <c r="J394" s="19"/>
    </row>
    <row r="395" spans="10:10">
      <c r="J395" s="19"/>
    </row>
    <row r="396" spans="10:10">
      <c r="J396" s="19"/>
    </row>
    <row r="397" spans="10:10">
      <c r="J397" s="19"/>
    </row>
    <row r="398" spans="10:10">
      <c r="J398" s="19"/>
    </row>
    <row r="399" spans="10:10">
      <c r="J399" s="19"/>
    </row>
    <row r="400" spans="10:10">
      <c r="J400" s="19"/>
    </row>
    <row r="401" spans="10:10">
      <c r="J401" s="19"/>
    </row>
    <row r="402" spans="10:10">
      <c r="J402" s="19"/>
    </row>
    <row r="403" spans="10:10">
      <c r="J403" s="19"/>
    </row>
    <row r="404" spans="10:10">
      <c r="J404" s="19"/>
    </row>
    <row r="405" spans="10:10">
      <c r="J405" s="19"/>
    </row>
    <row r="406" spans="10:10">
      <c r="J406" s="19"/>
    </row>
    <row r="407" spans="10:10">
      <c r="J407" s="19"/>
    </row>
    <row r="408" spans="10:10">
      <c r="J408" s="19"/>
    </row>
    <row r="409" spans="10:10">
      <c r="J409" s="19"/>
    </row>
    <row r="410" spans="10:10">
      <c r="J410" s="19"/>
    </row>
    <row r="411" spans="10:10">
      <c r="J411" s="19"/>
    </row>
    <row r="412" spans="10:10">
      <c r="J412" s="19"/>
    </row>
    <row r="413" spans="10:10">
      <c r="J413" s="19"/>
    </row>
    <row r="414" spans="10:10">
      <c r="J414" s="19"/>
    </row>
    <row r="415" spans="10:10">
      <c r="J415" s="19"/>
    </row>
    <row r="416" spans="10:10">
      <c r="J416" s="19"/>
    </row>
    <row r="417" spans="10:10">
      <c r="J417" s="19"/>
    </row>
    <row r="418" spans="10:10">
      <c r="J418" s="19"/>
    </row>
    <row r="419" spans="10:10">
      <c r="J419" s="19"/>
    </row>
    <row r="420" spans="10:10">
      <c r="J420" s="19"/>
    </row>
    <row r="421" spans="10:10">
      <c r="J421" s="19"/>
    </row>
    <row r="422" spans="10:10">
      <c r="J422" s="19"/>
    </row>
    <row r="423" spans="10:10">
      <c r="J423" s="19"/>
    </row>
    <row r="424" spans="10:10">
      <c r="J424" s="19"/>
    </row>
    <row r="425" spans="10:10">
      <c r="J425" s="19"/>
    </row>
    <row r="426" spans="10:10">
      <c r="J426" s="19"/>
    </row>
    <row r="427" spans="10:10">
      <c r="J427" s="19"/>
    </row>
    <row r="428" spans="10:10">
      <c r="J428" s="19"/>
    </row>
    <row r="429" spans="10:10">
      <c r="J429" s="19"/>
    </row>
    <row r="430" spans="10:10">
      <c r="J430" s="19"/>
    </row>
    <row r="431" spans="10:10">
      <c r="J431" s="19"/>
    </row>
    <row r="432" spans="10:10">
      <c r="J432" s="19"/>
    </row>
    <row r="433" spans="10:10">
      <c r="J433" s="19"/>
    </row>
    <row r="434" spans="10:10">
      <c r="J434" s="19"/>
    </row>
    <row r="435" spans="10:10">
      <c r="J435" s="19"/>
    </row>
    <row r="436" spans="10:10">
      <c r="J436" s="19"/>
    </row>
    <row r="437" spans="10:10">
      <c r="J437" s="19"/>
    </row>
    <row r="438" spans="10:10">
      <c r="J438" s="19"/>
    </row>
    <row r="439" spans="10:10">
      <c r="J439" s="19"/>
    </row>
    <row r="440" spans="10:10">
      <c r="J440" s="19"/>
    </row>
    <row r="441" spans="10:10">
      <c r="J441" s="19"/>
    </row>
    <row r="442" spans="10:10">
      <c r="J442" s="19"/>
    </row>
    <row r="443" spans="10:10">
      <c r="J443" s="19"/>
    </row>
    <row r="444" spans="10:10">
      <c r="J444" s="19"/>
    </row>
    <row r="445" spans="10:10">
      <c r="J445" s="19"/>
    </row>
    <row r="446" spans="10:10">
      <c r="J446" s="19"/>
    </row>
    <row r="447" spans="10:10">
      <c r="J447" s="19"/>
    </row>
    <row r="448" spans="10:10">
      <c r="J448" s="19"/>
    </row>
    <row r="449" spans="10:10">
      <c r="J449" s="19"/>
    </row>
    <row r="450" spans="10:10">
      <c r="J450" s="19"/>
    </row>
    <row r="451" spans="10:10">
      <c r="J451" s="19"/>
    </row>
    <row r="452" spans="10:10">
      <c r="J452" s="19"/>
    </row>
    <row r="453" spans="10:10">
      <c r="J453" s="19"/>
    </row>
    <row r="454" spans="10:10">
      <c r="J454" s="19"/>
    </row>
    <row r="455" spans="10:10">
      <c r="J455" s="19"/>
    </row>
    <row r="456" spans="10:10">
      <c r="J456" s="19"/>
    </row>
    <row r="457" spans="10:10">
      <c r="J457" s="19"/>
    </row>
    <row r="458" spans="10:10">
      <c r="J458" s="19"/>
    </row>
    <row r="459" spans="10:10">
      <c r="J459" s="19"/>
    </row>
    <row r="460" spans="10:10">
      <c r="J460" s="19"/>
    </row>
    <row r="461" spans="10:10">
      <c r="J461" s="19"/>
    </row>
    <row r="462" spans="10:10">
      <c r="J462" s="19"/>
    </row>
    <row r="463" spans="10:10">
      <c r="J463" s="19"/>
    </row>
    <row r="464" spans="10:10">
      <c r="J464" s="19"/>
    </row>
    <row r="465" spans="10:10">
      <c r="J465" s="19"/>
    </row>
    <row r="466" spans="10:10">
      <c r="J466" s="19"/>
    </row>
    <row r="467" spans="10:10">
      <c r="J467" s="19"/>
    </row>
    <row r="468" spans="10:10">
      <c r="J468" s="19"/>
    </row>
    <row r="469" spans="10:10">
      <c r="J469" s="19"/>
    </row>
    <row r="470" spans="10:10">
      <c r="J470" s="19"/>
    </row>
    <row r="471" spans="10:10">
      <c r="J471" s="19"/>
    </row>
    <row r="472" spans="10:10">
      <c r="J472" s="19"/>
    </row>
    <row r="473" spans="10:10">
      <c r="J473" s="19"/>
    </row>
    <row r="474" spans="10:10">
      <c r="J474" s="19"/>
    </row>
    <row r="475" spans="10:10">
      <c r="J475" s="19"/>
    </row>
    <row r="476" spans="10:10">
      <c r="J476" s="19"/>
    </row>
    <row r="477" spans="10:10">
      <c r="J477" s="19"/>
    </row>
    <row r="478" spans="10:10">
      <c r="J478" s="19"/>
    </row>
    <row r="479" spans="10:10">
      <c r="J479" s="19"/>
    </row>
    <row r="480" spans="10:10">
      <c r="J480" s="19"/>
    </row>
    <row r="481" spans="10:10">
      <c r="J481" s="19"/>
    </row>
    <row r="482" spans="10:10">
      <c r="J482" s="19"/>
    </row>
    <row r="483" spans="10:10">
      <c r="J483" s="19"/>
    </row>
    <row r="484" spans="10:10">
      <c r="J484" s="19"/>
    </row>
    <row r="485" spans="10:10">
      <c r="J485" s="19"/>
    </row>
    <row r="486" spans="10:10">
      <c r="J486" s="19"/>
    </row>
    <row r="487" spans="10:10">
      <c r="J487" s="19"/>
    </row>
    <row r="488" spans="10:10">
      <c r="J488" s="19"/>
    </row>
    <row r="489" spans="10:10">
      <c r="J489" s="19"/>
    </row>
    <row r="490" spans="10:10">
      <c r="J490" s="19"/>
    </row>
    <row r="491" spans="10:10">
      <c r="J491" s="19"/>
    </row>
    <row r="492" spans="10:10">
      <c r="J492" s="19"/>
    </row>
    <row r="493" spans="10:10">
      <c r="J493" s="19"/>
    </row>
    <row r="494" spans="10:10">
      <c r="J494" s="19"/>
    </row>
    <row r="495" spans="10:10">
      <c r="J495" s="19"/>
    </row>
    <row r="496" spans="10:10">
      <c r="J496" s="19"/>
    </row>
    <row r="497" spans="10:10">
      <c r="J497" s="19"/>
    </row>
    <row r="498" spans="10:10">
      <c r="J498" s="19"/>
    </row>
    <row r="499" spans="10:10">
      <c r="J499" s="19"/>
    </row>
    <row r="500" spans="10:10">
      <c r="J500" s="19"/>
    </row>
    <row r="501" spans="10:10">
      <c r="J501" s="19"/>
    </row>
    <row r="502" spans="10:10">
      <c r="J502" s="19"/>
    </row>
    <row r="503" spans="10:10">
      <c r="J503" s="19"/>
    </row>
    <row r="504" spans="10:10">
      <c r="J504" s="19"/>
    </row>
    <row r="505" spans="10:10">
      <c r="J505" s="19"/>
    </row>
    <row r="506" spans="10:10">
      <c r="J506" s="19"/>
    </row>
    <row r="507" spans="10:10">
      <c r="J507" s="19"/>
    </row>
    <row r="508" spans="10:10">
      <c r="J508" s="19"/>
    </row>
    <row r="509" spans="10:10">
      <c r="J509" s="19"/>
    </row>
    <row r="510" spans="10:10">
      <c r="J510" s="19"/>
    </row>
    <row r="511" spans="10:10">
      <c r="J511" s="19"/>
    </row>
    <row r="512" spans="10:10">
      <c r="J512" s="19"/>
    </row>
    <row r="513" spans="10:10">
      <c r="J513" s="19"/>
    </row>
    <row r="514" spans="10:10">
      <c r="J514" s="19"/>
    </row>
    <row r="515" spans="10:10">
      <c r="J515" s="19"/>
    </row>
    <row r="516" spans="10:10">
      <c r="J516" s="19"/>
    </row>
    <row r="517" spans="10:10">
      <c r="J517" s="19"/>
    </row>
    <row r="518" spans="10:10">
      <c r="J518" s="19"/>
    </row>
    <row r="519" spans="10:10">
      <c r="J519" s="19"/>
    </row>
    <row r="520" spans="10:10">
      <c r="J520" s="19"/>
    </row>
    <row r="521" spans="10:10">
      <c r="J521" s="19"/>
    </row>
    <row r="522" spans="10:10">
      <c r="J522" s="19"/>
    </row>
    <row r="523" spans="10:10">
      <c r="J523" s="19"/>
    </row>
    <row r="524" spans="10:10">
      <c r="J524" s="19"/>
    </row>
    <row r="525" spans="10:10">
      <c r="J525" s="19"/>
    </row>
    <row r="526" spans="10:10">
      <c r="J526" s="19"/>
    </row>
    <row r="527" spans="10:10">
      <c r="J527" s="19"/>
    </row>
    <row r="528" spans="10:10">
      <c r="J528" s="19"/>
    </row>
    <row r="529" spans="10:10">
      <c r="J529" s="19"/>
    </row>
    <row r="530" spans="10:10">
      <c r="J530" s="19"/>
    </row>
    <row r="531" spans="10:10">
      <c r="J531" s="19"/>
    </row>
    <row r="532" spans="10:10">
      <c r="J532" s="19"/>
    </row>
    <row r="533" spans="10:10">
      <c r="J533" s="19"/>
    </row>
    <row r="534" spans="10:10">
      <c r="J534" s="19"/>
    </row>
    <row r="535" spans="10:10">
      <c r="J535" s="19"/>
    </row>
    <row r="536" spans="10:10">
      <c r="J536" s="19"/>
    </row>
    <row r="537" spans="10:10">
      <c r="J537" s="19"/>
    </row>
    <row r="538" spans="10:10">
      <c r="J538" s="19"/>
    </row>
    <row r="539" spans="10:10">
      <c r="J539" s="19"/>
    </row>
    <row r="540" spans="10:10">
      <c r="J540" s="19"/>
    </row>
    <row r="541" spans="10:10">
      <c r="J541" s="19"/>
    </row>
    <row r="542" spans="10:10">
      <c r="J542" s="19"/>
    </row>
    <row r="543" spans="10:10">
      <c r="J543" s="19"/>
    </row>
    <row r="544" spans="10:10">
      <c r="J544" s="19"/>
    </row>
    <row r="545" spans="10:10">
      <c r="J545" s="19"/>
    </row>
    <row r="546" spans="10:10">
      <c r="J546" s="19"/>
    </row>
    <row r="547" spans="10:10">
      <c r="J547" s="19"/>
    </row>
    <row r="548" spans="10:10">
      <c r="J548" s="19"/>
    </row>
    <row r="549" spans="10:10">
      <c r="J549" s="19"/>
    </row>
    <row r="550" spans="10:10">
      <c r="J550" s="19"/>
    </row>
    <row r="551" spans="10:10">
      <c r="J551" s="19"/>
    </row>
    <row r="552" spans="10:10">
      <c r="J552" s="19"/>
    </row>
    <row r="553" spans="10:10">
      <c r="J553" s="19"/>
    </row>
    <row r="554" spans="10:10">
      <c r="J554" s="19"/>
    </row>
    <row r="555" spans="10:10">
      <c r="J555" s="19"/>
    </row>
    <row r="556" spans="10:10">
      <c r="J556" s="19"/>
    </row>
    <row r="557" spans="10:10">
      <c r="J557" s="19"/>
    </row>
    <row r="558" spans="10:10">
      <c r="J558" s="19"/>
    </row>
    <row r="559" spans="10:10">
      <c r="J559" s="19"/>
    </row>
    <row r="560" spans="10:10">
      <c r="J560" s="19"/>
    </row>
    <row r="561" spans="10:10">
      <c r="J561" s="19"/>
    </row>
    <row r="562" spans="10:10">
      <c r="J562" s="19"/>
    </row>
    <row r="563" spans="10:10">
      <c r="J563" s="19"/>
    </row>
    <row r="564" spans="10:10">
      <c r="J564" s="19"/>
    </row>
    <row r="565" spans="10:10">
      <c r="J565" s="19"/>
    </row>
    <row r="566" spans="10:10">
      <c r="J566" s="19"/>
    </row>
    <row r="567" spans="10:10">
      <c r="J567" s="19"/>
    </row>
    <row r="568" spans="10:10">
      <c r="J568" s="19"/>
    </row>
    <row r="569" spans="10:10">
      <c r="J569" s="19"/>
    </row>
    <row r="570" spans="10:10">
      <c r="J570" s="19"/>
    </row>
    <row r="571" spans="10:10">
      <c r="J571" s="19"/>
    </row>
    <row r="572" spans="10:10">
      <c r="J572" s="19"/>
    </row>
    <row r="573" spans="10:10">
      <c r="J573" s="19"/>
    </row>
    <row r="574" spans="10:10">
      <c r="J574" s="19"/>
    </row>
    <row r="575" spans="10:10">
      <c r="J575" s="19"/>
    </row>
    <row r="576" spans="10:10">
      <c r="J576" s="19"/>
    </row>
    <row r="577" spans="10:10">
      <c r="J577" s="19"/>
    </row>
    <row r="578" spans="10:10">
      <c r="J578" s="19"/>
    </row>
    <row r="579" spans="10:10">
      <c r="J579" s="19"/>
    </row>
    <row r="580" spans="10:10">
      <c r="J580" s="19"/>
    </row>
    <row r="581" spans="10:10">
      <c r="J581" s="19"/>
    </row>
    <row r="582" spans="10:10">
      <c r="J582" s="19"/>
    </row>
    <row r="583" spans="10:10">
      <c r="J583" s="19"/>
    </row>
    <row r="584" spans="10:10">
      <c r="J584" s="19"/>
    </row>
    <row r="585" spans="10:10">
      <c r="J585" s="19"/>
    </row>
    <row r="586" spans="10:10">
      <c r="J586" s="19"/>
    </row>
    <row r="587" spans="10:10">
      <c r="J587" s="19"/>
    </row>
    <row r="588" spans="10:10">
      <c r="J588" s="19"/>
    </row>
    <row r="589" spans="10:10">
      <c r="J589" s="19"/>
    </row>
    <row r="590" spans="10:10">
      <c r="J590" s="19"/>
    </row>
    <row r="591" spans="10:10">
      <c r="J591" s="19"/>
    </row>
    <row r="592" spans="10:10">
      <c r="J592" s="19"/>
    </row>
    <row r="593" spans="10:10">
      <c r="J593" s="19"/>
    </row>
    <row r="594" spans="10:10">
      <c r="J594" s="19"/>
    </row>
    <row r="595" spans="10:10">
      <c r="J595" s="19"/>
    </row>
    <row r="596" spans="10:10">
      <c r="J596" s="19"/>
    </row>
    <row r="597" spans="10:10">
      <c r="J597" s="19"/>
    </row>
    <row r="598" spans="10:10">
      <c r="J598" s="19"/>
    </row>
    <row r="599" spans="10:10">
      <c r="J599" s="19"/>
    </row>
    <row r="600" spans="10:10">
      <c r="J600" s="19"/>
    </row>
    <row r="601" spans="10:10">
      <c r="J601" s="19"/>
    </row>
    <row r="602" spans="10:10">
      <c r="J602" s="19"/>
    </row>
    <row r="603" spans="10:10">
      <c r="J603" s="19"/>
    </row>
    <row r="604" spans="10:10">
      <c r="J604" s="19"/>
    </row>
    <row r="605" spans="10:10">
      <c r="J605" s="19"/>
    </row>
    <row r="606" spans="10:10">
      <c r="J606" s="19"/>
    </row>
    <row r="607" spans="10:10">
      <c r="J607" s="19"/>
    </row>
    <row r="608" spans="10:10">
      <c r="J608" s="19"/>
    </row>
    <row r="609" spans="10:10">
      <c r="J609" s="19"/>
    </row>
    <row r="610" spans="10:10">
      <c r="J610" s="19"/>
    </row>
    <row r="611" spans="10:10">
      <c r="J611" s="19"/>
    </row>
    <row r="612" spans="10:10">
      <c r="J612" s="19"/>
    </row>
    <row r="613" spans="10:10">
      <c r="J613" s="19"/>
    </row>
    <row r="614" spans="10:10">
      <c r="J614" s="19"/>
    </row>
    <row r="615" spans="10:10">
      <c r="J615" s="19"/>
    </row>
    <row r="616" spans="10:10">
      <c r="J616" s="19"/>
    </row>
    <row r="617" spans="10:10">
      <c r="J617" s="19"/>
    </row>
    <row r="618" spans="10:10">
      <c r="J618" s="19"/>
    </row>
    <row r="619" spans="10:10">
      <c r="J619" s="19"/>
    </row>
    <row r="620" spans="10:10">
      <c r="J620" s="19"/>
    </row>
    <row r="621" spans="10:10">
      <c r="J621" s="19"/>
    </row>
    <row r="622" spans="10:10">
      <c r="J622" s="19"/>
    </row>
    <row r="623" spans="10:10">
      <c r="J623" s="19"/>
    </row>
    <row r="624" spans="10:10">
      <c r="J624" s="19"/>
    </row>
    <row r="625" spans="10:10">
      <c r="J625" s="19"/>
    </row>
    <row r="626" spans="10:10">
      <c r="J626" s="19"/>
    </row>
    <row r="627" spans="10:10">
      <c r="J627" s="19"/>
    </row>
    <row r="628" spans="10:10">
      <c r="J628" s="19"/>
    </row>
    <row r="629" spans="10:10">
      <c r="J629" s="19"/>
    </row>
    <row r="630" spans="10:10">
      <c r="J630" s="19"/>
    </row>
    <row r="631" spans="10:10">
      <c r="J631" s="19"/>
    </row>
    <row r="632" spans="10:10">
      <c r="J632" s="19"/>
    </row>
    <row r="633" spans="10:10">
      <c r="J633" s="19"/>
    </row>
    <row r="634" spans="10:10">
      <c r="J634" s="19"/>
    </row>
    <row r="635" spans="10:10">
      <c r="J635" s="19"/>
    </row>
    <row r="636" spans="10:10">
      <c r="J636" s="19"/>
    </row>
    <row r="637" spans="10:10">
      <c r="J637" s="19"/>
    </row>
    <row r="638" spans="10:10">
      <c r="J638" s="19"/>
    </row>
    <row r="639" spans="10:10">
      <c r="J639" s="19"/>
    </row>
    <row r="640" spans="10:10">
      <c r="J640" s="19"/>
    </row>
    <row r="641" spans="10:10">
      <c r="J641" s="19"/>
    </row>
    <row r="642" spans="10:10">
      <c r="J642" s="19"/>
    </row>
    <row r="643" spans="10:10">
      <c r="J643" s="19"/>
    </row>
    <row r="644" spans="10:10">
      <c r="J644" s="19"/>
    </row>
    <row r="645" spans="10:10">
      <c r="J645" s="19"/>
    </row>
    <row r="646" spans="10:10">
      <c r="J646" s="19"/>
    </row>
    <row r="647" spans="10:10">
      <c r="J647" s="19"/>
    </row>
    <row r="648" spans="10:10">
      <c r="J648" s="19"/>
    </row>
    <row r="649" spans="10:10">
      <c r="J649" s="19"/>
    </row>
    <row r="650" spans="10:10">
      <c r="J650" s="19"/>
    </row>
    <row r="651" spans="10:10">
      <c r="J651" s="19"/>
    </row>
    <row r="652" spans="10:10">
      <c r="J652" s="19"/>
    </row>
    <row r="653" spans="10:10">
      <c r="J653" s="19"/>
    </row>
    <row r="654" spans="10:10">
      <c r="J654" s="19"/>
    </row>
    <row r="655" spans="10:10">
      <c r="J655" s="19"/>
    </row>
    <row r="656" spans="10:10">
      <c r="J656" s="19"/>
    </row>
    <row r="657" spans="10:10">
      <c r="J657" s="19"/>
    </row>
    <row r="658" spans="10:10">
      <c r="J658" s="19"/>
    </row>
    <row r="659" spans="10:10">
      <c r="J659" s="19"/>
    </row>
    <row r="660" spans="10:10">
      <c r="J660" s="19"/>
    </row>
    <row r="661" spans="10:10">
      <c r="J661" s="19"/>
    </row>
    <row r="662" spans="10:10">
      <c r="J662" s="19"/>
    </row>
    <row r="663" spans="10:10">
      <c r="J663" s="19"/>
    </row>
    <row r="664" spans="10:10">
      <c r="J664" s="19"/>
    </row>
    <row r="665" spans="10:10">
      <c r="J665" s="19"/>
    </row>
    <row r="666" spans="10:10">
      <c r="J666" s="19"/>
    </row>
    <row r="667" spans="10:10">
      <c r="J667" s="19"/>
    </row>
    <row r="668" spans="10:10">
      <c r="J668" s="19"/>
    </row>
    <row r="669" spans="10:10">
      <c r="J669" s="19"/>
    </row>
    <row r="670" spans="10:10">
      <c r="J670" s="19"/>
    </row>
    <row r="671" spans="10:10">
      <c r="J671" s="19"/>
    </row>
    <row r="672" spans="10:10">
      <c r="J672" s="19"/>
    </row>
    <row r="673" spans="10:10">
      <c r="J673" s="19"/>
    </row>
    <row r="674" spans="10:10">
      <c r="J674" s="19"/>
    </row>
    <row r="675" spans="10:10">
      <c r="J675" s="19"/>
    </row>
    <row r="676" spans="10:10">
      <c r="J676" s="19"/>
    </row>
    <row r="677" spans="10:10">
      <c r="J677" s="19"/>
    </row>
    <row r="678" spans="10:10">
      <c r="J678" s="19"/>
    </row>
    <row r="679" spans="10:10">
      <c r="J679" s="19"/>
    </row>
    <row r="680" spans="10:10">
      <c r="J680" s="19"/>
    </row>
    <row r="681" spans="10:10">
      <c r="J681" s="19"/>
    </row>
    <row r="682" spans="10:10">
      <c r="J682" s="19"/>
    </row>
    <row r="683" spans="10:10">
      <c r="J683" s="19"/>
    </row>
    <row r="684" spans="10:10">
      <c r="J684" s="19"/>
    </row>
    <row r="685" spans="10:10">
      <c r="J685" s="19"/>
    </row>
    <row r="686" spans="10:10">
      <c r="J686" s="19"/>
    </row>
    <row r="687" spans="10:10">
      <c r="J687" s="19"/>
    </row>
    <row r="688" spans="10:10">
      <c r="J688" s="19"/>
    </row>
    <row r="689" spans="10:10">
      <c r="J689" s="19"/>
    </row>
    <row r="690" spans="10:10">
      <c r="J690" s="19"/>
    </row>
    <row r="691" spans="10:10">
      <c r="J691" s="19"/>
    </row>
    <row r="692" spans="10:10">
      <c r="J692" s="19"/>
    </row>
    <row r="693" spans="10:10">
      <c r="J693" s="19"/>
    </row>
    <row r="694" spans="10:10">
      <c r="J694" s="19"/>
    </row>
    <row r="695" spans="10:10">
      <c r="J695" s="19"/>
    </row>
    <row r="696" spans="10:10">
      <c r="J696" s="19"/>
    </row>
    <row r="697" spans="10:10">
      <c r="J697" s="19"/>
    </row>
    <row r="698" spans="10:10">
      <c r="J698" s="19"/>
    </row>
    <row r="699" spans="10:10">
      <c r="J699" s="19"/>
    </row>
    <row r="700" spans="10:10">
      <c r="J700" s="19"/>
    </row>
    <row r="701" spans="10:10">
      <c r="J701" s="19"/>
    </row>
    <row r="702" spans="10:10">
      <c r="J702" s="19"/>
    </row>
    <row r="703" spans="10:10">
      <c r="J703" s="19"/>
    </row>
    <row r="704" spans="10:10">
      <c r="J704" s="19"/>
    </row>
    <row r="705" spans="10:10">
      <c r="J705" s="19"/>
    </row>
    <row r="706" spans="10:10">
      <c r="J706" s="19"/>
    </row>
    <row r="707" spans="10:10">
      <c r="J707" s="19"/>
    </row>
    <row r="708" spans="10:10">
      <c r="J708" s="19"/>
    </row>
    <row r="709" spans="10:10">
      <c r="J709" s="19"/>
    </row>
    <row r="710" spans="10:10">
      <c r="J710" s="19"/>
    </row>
    <row r="711" spans="10:10">
      <c r="J711" s="19"/>
    </row>
    <row r="712" spans="10:10">
      <c r="J712" s="19"/>
    </row>
    <row r="713" spans="10:10">
      <c r="J713" s="19"/>
    </row>
    <row r="714" spans="10:10">
      <c r="J714" s="19"/>
    </row>
    <row r="715" spans="10:10">
      <c r="J715" s="19"/>
    </row>
    <row r="716" spans="10:10">
      <c r="J716" s="19"/>
    </row>
    <row r="717" spans="10:10">
      <c r="J717" s="19"/>
    </row>
    <row r="718" spans="10:10">
      <c r="J718" s="19"/>
    </row>
    <row r="719" spans="10:10">
      <c r="J719" s="19"/>
    </row>
    <row r="720" spans="10:10">
      <c r="J720" s="19"/>
    </row>
    <row r="721" spans="10:10">
      <c r="J721" s="19"/>
    </row>
    <row r="722" spans="10:10">
      <c r="J722" s="19"/>
    </row>
    <row r="723" spans="10:10">
      <c r="J723" s="19"/>
    </row>
    <row r="724" spans="10:10">
      <c r="J724" s="19"/>
    </row>
    <row r="725" spans="10:10">
      <c r="J725" s="19"/>
    </row>
    <row r="726" spans="10:10">
      <c r="J726" s="19"/>
    </row>
    <row r="727" spans="10:10">
      <c r="J727" s="19"/>
    </row>
    <row r="728" spans="10:10">
      <c r="J728" s="19"/>
    </row>
    <row r="729" spans="10:10">
      <c r="J729" s="19"/>
    </row>
    <row r="730" spans="10:10">
      <c r="J730" s="19"/>
    </row>
    <row r="731" spans="10:10">
      <c r="J731" s="19"/>
    </row>
    <row r="732" spans="10:10">
      <c r="J732" s="19"/>
    </row>
    <row r="733" spans="10:10">
      <c r="J733" s="19"/>
    </row>
    <row r="734" spans="10:10">
      <c r="J734" s="19"/>
    </row>
    <row r="735" spans="10:10">
      <c r="J735" s="19"/>
    </row>
    <row r="736" spans="10:10">
      <c r="J736" s="19"/>
    </row>
    <row r="737" spans="10:10">
      <c r="J737" s="19"/>
    </row>
    <row r="738" spans="10:10">
      <c r="J738" s="19"/>
    </row>
    <row r="739" spans="10:10">
      <c r="J739" s="19"/>
    </row>
    <row r="740" spans="10:10">
      <c r="J740" s="19"/>
    </row>
    <row r="741" spans="10:10">
      <c r="J741" s="19"/>
    </row>
    <row r="742" spans="10:10">
      <c r="J742" s="19"/>
    </row>
    <row r="743" spans="10:10">
      <c r="J743" s="19"/>
    </row>
    <row r="744" spans="10:10">
      <c r="J744" s="19"/>
    </row>
    <row r="745" spans="10:10">
      <c r="J745" s="19"/>
    </row>
    <row r="746" spans="10:10">
      <c r="J746" s="19"/>
    </row>
    <row r="747" spans="10:10">
      <c r="J747" s="19"/>
    </row>
    <row r="748" spans="10:10">
      <c r="J748" s="19"/>
    </row>
    <row r="749" spans="10:10">
      <c r="J749" s="19"/>
    </row>
    <row r="750" spans="10:10">
      <c r="J750" s="19"/>
    </row>
    <row r="751" spans="10:10">
      <c r="J751" s="19"/>
    </row>
    <row r="752" spans="10:10">
      <c r="J752" s="19"/>
    </row>
    <row r="753" spans="10:10">
      <c r="J753" s="19"/>
    </row>
    <row r="754" spans="10:10">
      <c r="J754" s="19"/>
    </row>
    <row r="755" spans="10:10">
      <c r="J755" s="19"/>
    </row>
    <row r="756" spans="10:10">
      <c r="J756" s="19"/>
    </row>
    <row r="757" spans="10:10">
      <c r="J757" s="19"/>
    </row>
    <row r="758" spans="10:10">
      <c r="J758" s="19"/>
    </row>
    <row r="759" spans="10:10">
      <c r="J759" s="19"/>
    </row>
    <row r="760" spans="10:10">
      <c r="J760" s="19"/>
    </row>
    <row r="761" spans="10:10">
      <c r="J761" s="19"/>
    </row>
    <row r="762" spans="10:10">
      <c r="J762" s="19"/>
    </row>
    <row r="763" spans="10:10">
      <c r="J763" s="19"/>
    </row>
    <row r="764" spans="10:10">
      <c r="J764" s="19"/>
    </row>
    <row r="765" spans="10:10">
      <c r="J765" s="19"/>
    </row>
    <row r="766" spans="10:10">
      <c r="J766" s="19"/>
    </row>
    <row r="767" spans="10:10">
      <c r="J767" s="19"/>
    </row>
    <row r="768" spans="10:10">
      <c r="J768" s="19"/>
    </row>
    <row r="769" spans="10:10">
      <c r="J769" s="19"/>
    </row>
    <row r="770" spans="10:10">
      <c r="J770" s="19"/>
    </row>
    <row r="771" spans="10:10">
      <c r="J771" s="19"/>
    </row>
    <row r="772" spans="10:10">
      <c r="J772" s="19"/>
    </row>
    <row r="773" spans="10:10">
      <c r="J773" s="19"/>
    </row>
    <row r="774" spans="10:10">
      <c r="J774" s="19"/>
    </row>
    <row r="775" spans="10:10">
      <c r="J775" s="19"/>
    </row>
    <row r="776" spans="10:10">
      <c r="J776" s="19"/>
    </row>
    <row r="777" spans="10:10">
      <c r="J777" s="19"/>
    </row>
    <row r="778" spans="10:10">
      <c r="J778" s="19"/>
    </row>
    <row r="779" spans="10:10">
      <c r="J779" s="19"/>
    </row>
    <row r="780" spans="10:10">
      <c r="J780" s="19"/>
    </row>
    <row r="781" spans="10:10">
      <c r="J781" s="19"/>
    </row>
    <row r="782" spans="10:10">
      <c r="J782" s="19"/>
    </row>
    <row r="783" spans="10:10">
      <c r="J783" s="19"/>
    </row>
    <row r="784" spans="10:10">
      <c r="J784" s="19"/>
    </row>
    <row r="785" spans="10:10">
      <c r="J785" s="19"/>
    </row>
    <row r="786" spans="10:10">
      <c r="J786" s="19"/>
    </row>
    <row r="787" spans="10:10">
      <c r="J787" s="19"/>
    </row>
    <row r="788" spans="10:10">
      <c r="J788" s="19"/>
    </row>
    <row r="789" spans="10:10">
      <c r="J789" s="19"/>
    </row>
    <row r="790" spans="10:10">
      <c r="J790" s="19"/>
    </row>
    <row r="791" spans="10:10">
      <c r="J791" s="19"/>
    </row>
    <row r="792" spans="10:10">
      <c r="J792" s="19"/>
    </row>
    <row r="793" spans="10:10">
      <c r="J793" s="19"/>
    </row>
    <row r="794" spans="10:10">
      <c r="J794" s="19"/>
    </row>
    <row r="795" spans="10:10">
      <c r="J795" s="19"/>
    </row>
    <row r="796" spans="10:10">
      <c r="J796" s="19"/>
    </row>
    <row r="797" spans="10:10">
      <c r="J797" s="19"/>
    </row>
    <row r="798" spans="10:10">
      <c r="J798" s="19"/>
    </row>
    <row r="799" spans="10:10">
      <c r="J799" s="19"/>
    </row>
    <row r="800" spans="10:10">
      <c r="J800" s="19"/>
    </row>
    <row r="801" spans="10:10">
      <c r="J801" s="19"/>
    </row>
    <row r="802" spans="10:10">
      <c r="J802" s="19"/>
    </row>
    <row r="803" spans="10:10">
      <c r="J803" s="19"/>
    </row>
    <row r="804" spans="10:10">
      <c r="J804" s="19"/>
    </row>
    <row r="805" spans="10:10">
      <c r="J805" s="19"/>
    </row>
    <row r="806" spans="10:10">
      <c r="J806" s="19"/>
    </row>
    <row r="807" spans="10:10">
      <c r="J807" s="19"/>
    </row>
    <row r="808" spans="10:10">
      <c r="J808" s="19"/>
    </row>
    <row r="809" spans="10:10">
      <c r="J809" s="19"/>
    </row>
    <row r="810" spans="10:10">
      <c r="J810" s="19"/>
    </row>
    <row r="811" spans="10:10">
      <c r="J811" s="19"/>
    </row>
    <row r="812" spans="10:10">
      <c r="J812" s="19"/>
    </row>
    <row r="813" spans="10:10">
      <c r="J813" s="19"/>
    </row>
    <row r="814" spans="10:10">
      <c r="J814" s="19"/>
    </row>
    <row r="815" spans="10:10">
      <c r="J815" s="19"/>
    </row>
    <row r="816" spans="10:10">
      <c r="J816" s="19"/>
    </row>
    <row r="817" spans="10:10">
      <c r="J817" s="19"/>
    </row>
    <row r="818" spans="10:10">
      <c r="J818" s="19"/>
    </row>
    <row r="819" spans="10:10">
      <c r="J819" s="19"/>
    </row>
    <row r="820" spans="10:10">
      <c r="J820" s="19"/>
    </row>
    <row r="821" spans="10:10">
      <c r="J821" s="19"/>
    </row>
    <row r="822" spans="10:10">
      <c r="J822" s="19"/>
    </row>
    <row r="823" spans="10:10">
      <c r="J823" s="19"/>
    </row>
    <row r="824" spans="10:10">
      <c r="J824" s="19"/>
    </row>
    <row r="825" spans="10:10">
      <c r="J825" s="19"/>
    </row>
    <row r="826" spans="10:10">
      <c r="J826" s="19"/>
    </row>
    <row r="827" spans="10:10">
      <c r="J827" s="19"/>
    </row>
    <row r="828" spans="10:10">
      <c r="J828" s="19"/>
    </row>
    <row r="829" spans="10:10">
      <c r="J829" s="19"/>
    </row>
    <row r="830" spans="10:10">
      <c r="J830" s="19"/>
    </row>
    <row r="831" spans="10:10">
      <c r="J831" s="19"/>
    </row>
    <row r="832" spans="10:10">
      <c r="J832" s="19"/>
    </row>
    <row r="833" spans="10:10">
      <c r="J833" s="19"/>
    </row>
    <row r="834" spans="10:10">
      <c r="J834" s="19"/>
    </row>
    <row r="835" spans="10:10">
      <c r="J835" s="19"/>
    </row>
    <row r="836" spans="10:10">
      <c r="J836" s="19"/>
    </row>
    <row r="837" spans="10:10">
      <c r="J837" s="19"/>
    </row>
    <row r="838" spans="10:10">
      <c r="J838" s="19"/>
    </row>
    <row r="839" spans="10:10">
      <c r="J839" s="19"/>
    </row>
    <row r="840" spans="10:10">
      <c r="J840" s="19"/>
    </row>
    <row r="841" spans="10:10">
      <c r="J841" s="19"/>
    </row>
    <row r="842" spans="10:10">
      <c r="J842" s="19"/>
    </row>
    <row r="843" spans="10:10">
      <c r="J843" s="19"/>
    </row>
    <row r="844" spans="10:10">
      <c r="J844" s="19"/>
    </row>
    <row r="845" spans="10:10">
      <c r="J845" s="19"/>
    </row>
    <row r="846" spans="10:10">
      <c r="J846" s="19"/>
    </row>
    <row r="847" spans="10:10">
      <c r="J847" s="19"/>
    </row>
    <row r="848" spans="10:10">
      <c r="J848" s="19"/>
    </row>
    <row r="849" spans="10:10">
      <c r="J849" s="19"/>
    </row>
    <row r="850" spans="10:10">
      <c r="J850" s="19"/>
    </row>
    <row r="851" spans="10:10">
      <c r="J851" s="19"/>
    </row>
    <row r="852" spans="10:10">
      <c r="J852" s="19"/>
    </row>
    <row r="853" spans="10:10">
      <c r="J853" s="19"/>
    </row>
    <row r="854" spans="10:10">
      <c r="J854" s="19"/>
    </row>
    <row r="855" spans="10:10">
      <c r="J855" s="19"/>
    </row>
    <row r="856" spans="10:10">
      <c r="J856" s="19"/>
    </row>
    <row r="857" spans="10:10">
      <c r="J857" s="19"/>
    </row>
    <row r="858" spans="10:10">
      <c r="J858" s="19"/>
    </row>
    <row r="859" spans="10:10">
      <c r="J859" s="19"/>
    </row>
    <row r="860" spans="10:10">
      <c r="J860" s="19"/>
    </row>
    <row r="861" spans="10:10">
      <c r="J861" s="19"/>
    </row>
    <row r="862" spans="10:10">
      <c r="J862" s="19"/>
    </row>
    <row r="863" spans="10:10">
      <c r="J863" s="19"/>
    </row>
    <row r="864" spans="10:10">
      <c r="J864" s="19"/>
    </row>
    <row r="865" spans="10:10">
      <c r="J865" s="19"/>
    </row>
    <row r="866" spans="10:10">
      <c r="J866" s="19"/>
    </row>
    <row r="867" spans="10:10">
      <c r="J867" s="19"/>
    </row>
    <row r="868" spans="10:10">
      <c r="J868" s="19"/>
    </row>
    <row r="869" spans="10:10">
      <c r="J869" s="19"/>
    </row>
    <row r="870" spans="10:10">
      <c r="J870" s="19"/>
    </row>
    <row r="871" spans="10:10">
      <c r="J871" s="19"/>
    </row>
    <row r="872" spans="10:10">
      <c r="J872" s="19"/>
    </row>
    <row r="873" spans="10:10">
      <c r="J873" s="19"/>
    </row>
    <row r="874" spans="10:10">
      <c r="J874" s="19"/>
    </row>
    <row r="875" spans="10:10">
      <c r="J875" s="19"/>
    </row>
    <row r="876" spans="10:10">
      <c r="J876" s="19"/>
    </row>
    <row r="877" spans="10:10">
      <c r="J877" s="19"/>
    </row>
    <row r="878" spans="10:10">
      <c r="J878" s="19"/>
    </row>
    <row r="879" spans="10:10">
      <c r="J879" s="19"/>
    </row>
    <row r="880" spans="10:10">
      <c r="J880" s="19"/>
    </row>
    <row r="881" spans="10:10">
      <c r="J881" s="19"/>
    </row>
    <row r="882" spans="10:10">
      <c r="J882" s="19"/>
    </row>
    <row r="883" spans="10:10">
      <c r="J883" s="19"/>
    </row>
    <row r="884" spans="10:10">
      <c r="J884" s="19"/>
    </row>
    <row r="885" spans="10:10">
      <c r="J885" s="19"/>
    </row>
    <row r="886" spans="10:10">
      <c r="J886" s="19"/>
    </row>
    <row r="887" spans="10:10">
      <c r="J887" s="19"/>
    </row>
    <row r="888" spans="10:10">
      <c r="J888" s="19"/>
    </row>
    <row r="889" spans="10:10">
      <c r="J889" s="19"/>
    </row>
    <row r="890" spans="10:10">
      <c r="J890" s="19"/>
    </row>
    <row r="891" spans="10:10">
      <c r="J891" s="19"/>
    </row>
    <row r="892" spans="10:10">
      <c r="J892" s="19"/>
    </row>
    <row r="893" spans="10:10">
      <c r="J893" s="19"/>
    </row>
    <row r="894" spans="10:10">
      <c r="J894" s="19"/>
    </row>
    <row r="895" spans="10:10">
      <c r="J895" s="19"/>
    </row>
    <row r="896" spans="10:10">
      <c r="J896" s="19"/>
    </row>
    <row r="897" spans="10:10">
      <c r="J897" s="19"/>
    </row>
    <row r="898" spans="10:10">
      <c r="J898" s="19"/>
    </row>
    <row r="899" spans="10:10">
      <c r="J899" s="19"/>
    </row>
    <row r="900" spans="10:10">
      <c r="J900" s="19"/>
    </row>
    <row r="901" spans="10:10">
      <c r="J901" s="19"/>
    </row>
    <row r="902" spans="10:10">
      <c r="J902" s="19"/>
    </row>
    <row r="903" spans="10:10">
      <c r="J903" s="19"/>
    </row>
    <row r="904" spans="10:10">
      <c r="J904" s="19"/>
    </row>
    <row r="905" spans="10:10">
      <c r="J905" s="19"/>
    </row>
    <row r="906" spans="10:10">
      <c r="J906" s="19"/>
    </row>
    <row r="907" spans="10:10">
      <c r="J907" s="19"/>
    </row>
    <row r="908" spans="10:10">
      <c r="J908" s="19"/>
    </row>
    <row r="909" spans="10:10">
      <c r="J909" s="19"/>
    </row>
    <row r="910" spans="10:10">
      <c r="J910" s="19"/>
    </row>
    <row r="911" spans="10:10">
      <c r="J911" s="19"/>
    </row>
    <row r="912" spans="10:10">
      <c r="J912" s="19"/>
    </row>
    <row r="913" spans="10:10">
      <c r="J913" s="19"/>
    </row>
    <row r="914" spans="10:10">
      <c r="J914" s="19"/>
    </row>
    <row r="915" spans="10:10">
      <c r="J915" s="19"/>
    </row>
    <row r="916" spans="10:10">
      <c r="J916" s="19"/>
    </row>
    <row r="917" spans="10:10">
      <c r="J917" s="19"/>
    </row>
    <row r="918" spans="10:10">
      <c r="J918" s="19"/>
    </row>
    <row r="919" spans="10:10">
      <c r="J919" s="19"/>
    </row>
    <row r="920" spans="10:10">
      <c r="J920" s="19"/>
    </row>
    <row r="921" spans="10:10">
      <c r="J921" s="19"/>
    </row>
    <row r="922" spans="10:10">
      <c r="J922" s="19"/>
    </row>
    <row r="923" spans="10:10">
      <c r="J923" s="19"/>
    </row>
    <row r="924" spans="10:10">
      <c r="J924" s="19"/>
    </row>
    <row r="925" spans="10:10">
      <c r="J925" s="19"/>
    </row>
    <row r="926" spans="10:10">
      <c r="J926" s="19"/>
    </row>
    <row r="927" spans="10:10">
      <c r="J927" s="19"/>
    </row>
    <row r="928" spans="10:10">
      <c r="J928" s="19"/>
    </row>
    <row r="929" spans="10:10">
      <c r="J929" s="19"/>
    </row>
    <row r="930" spans="10:10">
      <c r="J930" s="19"/>
    </row>
    <row r="931" spans="10:10">
      <c r="J931" s="19"/>
    </row>
    <row r="932" spans="10:10">
      <c r="J932" s="19"/>
    </row>
    <row r="933" spans="10:10">
      <c r="J933" s="19"/>
    </row>
    <row r="934" spans="10:10">
      <c r="J934" s="19"/>
    </row>
    <row r="935" spans="10:10">
      <c r="J935" s="19"/>
    </row>
    <row r="936" spans="10:10">
      <c r="J936" s="19"/>
    </row>
    <row r="937" spans="10:10">
      <c r="J937" s="19"/>
    </row>
    <row r="938" spans="10:10">
      <c r="J938" s="19"/>
    </row>
    <row r="939" spans="10:10">
      <c r="J939" s="19"/>
    </row>
    <row r="940" spans="10:10">
      <c r="J940" s="19"/>
    </row>
    <row r="941" spans="10:10">
      <c r="J941" s="19"/>
    </row>
    <row r="942" spans="10:10">
      <c r="J942" s="19"/>
    </row>
    <row r="943" spans="10:10">
      <c r="J943" s="19"/>
    </row>
    <row r="944" spans="10:10">
      <c r="J944" s="19"/>
    </row>
    <row r="945" spans="10:10">
      <c r="J945" s="19"/>
    </row>
    <row r="946" spans="10:10">
      <c r="J946" s="19"/>
    </row>
    <row r="947" spans="10:10">
      <c r="J947" s="19"/>
    </row>
    <row r="948" spans="10:10">
      <c r="J948" s="19"/>
    </row>
    <row r="949" spans="10:10">
      <c r="J949" s="19"/>
    </row>
    <row r="950" spans="10:10">
      <c r="J950" s="19"/>
    </row>
    <row r="951" spans="10:10">
      <c r="J951" s="19"/>
    </row>
    <row r="952" spans="10:10">
      <c r="J952" s="19"/>
    </row>
    <row r="953" spans="10:10">
      <c r="J953" s="19"/>
    </row>
    <row r="954" spans="10:10">
      <c r="J954" s="19"/>
    </row>
    <row r="955" spans="10:10">
      <c r="J955" s="19"/>
    </row>
    <row r="956" spans="10:10">
      <c r="J956" s="19"/>
    </row>
    <row r="957" spans="10:10">
      <c r="J957" s="19"/>
    </row>
    <row r="958" spans="10:10">
      <c r="J958" s="19"/>
    </row>
    <row r="959" spans="10:10">
      <c r="J959" s="19"/>
    </row>
    <row r="960" spans="10:10">
      <c r="J960" s="19"/>
    </row>
    <row r="961" spans="10:10">
      <c r="J961" s="19"/>
    </row>
    <row r="962" spans="10:10">
      <c r="J962" s="19"/>
    </row>
    <row r="963" spans="10:10">
      <c r="J963" s="19"/>
    </row>
    <row r="964" spans="10:10">
      <c r="J964" s="19"/>
    </row>
    <row r="965" spans="10:10">
      <c r="J965" s="19"/>
    </row>
    <row r="966" spans="10:10">
      <c r="J966" s="19"/>
    </row>
    <row r="967" spans="10:10">
      <c r="J967" s="19"/>
    </row>
    <row r="968" spans="10:10">
      <c r="J968" s="19"/>
    </row>
    <row r="969" spans="10:10">
      <c r="J969" s="19"/>
    </row>
    <row r="970" spans="10:10">
      <c r="J970" s="19"/>
    </row>
    <row r="971" spans="10:10">
      <c r="J971" s="19"/>
    </row>
    <row r="972" spans="10:10">
      <c r="J972" s="19"/>
    </row>
    <row r="973" spans="10:10">
      <c r="J973" s="19"/>
    </row>
    <row r="974" spans="10:10">
      <c r="J974" s="19"/>
    </row>
    <row r="975" spans="10:10">
      <c r="J975" s="19"/>
    </row>
    <row r="976" spans="10:10">
      <c r="J976" s="19"/>
    </row>
    <row r="977" spans="10:10">
      <c r="J977" s="19"/>
    </row>
    <row r="978" spans="10:10">
      <c r="J978" s="19"/>
    </row>
    <row r="979" spans="10:10">
      <c r="J979" s="19"/>
    </row>
    <row r="980" spans="10:10">
      <c r="J980" s="19"/>
    </row>
    <row r="981" spans="10:10">
      <c r="J981" s="19"/>
    </row>
    <row r="982" spans="10:10">
      <c r="J982" s="19"/>
    </row>
    <row r="983" spans="10:10">
      <c r="J983" s="19"/>
    </row>
    <row r="984" spans="10:10">
      <c r="J984" s="19"/>
    </row>
    <row r="985" spans="10:10">
      <c r="J985" s="19"/>
    </row>
    <row r="986" spans="10:10">
      <c r="J986" s="19"/>
    </row>
    <row r="987" spans="10:10">
      <c r="J987" s="19"/>
    </row>
    <row r="988" spans="10:10">
      <c r="J988" s="19"/>
    </row>
    <row r="989" spans="10:10">
      <c r="J989" s="19"/>
    </row>
    <row r="990" spans="10:10">
      <c r="J990" s="19"/>
    </row>
    <row r="991" spans="10:10">
      <c r="J991" s="19"/>
    </row>
    <row r="992" spans="10:10">
      <c r="J992" s="19"/>
    </row>
    <row r="993" spans="10:10">
      <c r="J993" s="19"/>
    </row>
    <row r="994" spans="10:10">
      <c r="J994" s="19"/>
    </row>
    <row r="995" spans="10:10">
      <c r="J995" s="19"/>
    </row>
    <row r="996" spans="10:10">
      <c r="J996" s="19"/>
    </row>
    <row r="997" spans="10:10">
      <c r="J997" s="19"/>
    </row>
    <row r="998" spans="10:10">
      <c r="J998" s="19"/>
    </row>
    <row r="999" spans="10:10">
      <c r="J999" s="19"/>
    </row>
  </sheetData>
  <autoFilter ref="A2:U14" xr:uid="{00000000-0009-0000-0000-000002000000}"/>
  <mergeCells count="4">
    <mergeCell ref="A1:O1"/>
    <mergeCell ref="Q1:R1"/>
    <mergeCell ref="S1:T1"/>
    <mergeCell ref="V1:W1"/>
  </mergeCells>
  <conditionalFormatting sqref="A1:A999">
    <cfRule type="containsText" dxfId="28" priority="5" operator="containsText" text="2025">
      <formula>NOT(ISERROR(SEARCH(("2025"),(A1))))</formula>
    </cfRule>
    <cfRule type="containsText" dxfId="27" priority="6" operator="containsText" text="2026">
      <formula>NOT(ISERROR(SEARCH(("2026"),(A1))))</formula>
    </cfRule>
  </conditionalFormatting>
  <conditionalFormatting sqref="A3:A14">
    <cfRule type="containsText" dxfId="26" priority="7" operator="containsText" text="2024">
      <formula>NOT(ISERROR(SEARCH(("2024"),(A3))))</formula>
    </cfRule>
  </conditionalFormatting>
  <conditionalFormatting sqref="Q3:Q14">
    <cfRule type="containsText" dxfId="25" priority="1" operator="containsText" text="SIM">
      <formula>NOT(ISERROR(SEARCH(("SIM"),(Q3))))</formula>
    </cfRule>
    <cfRule type="containsText" dxfId="24" priority="2" operator="containsText" text="NÃO">
      <formula>NOT(ISERROR(SEARCH(("NÃO"),(Q3))))</formula>
    </cfRule>
  </conditionalFormatting>
  <conditionalFormatting sqref="S3:T14">
    <cfRule type="containsText" dxfId="23" priority="3" operator="containsText" text="SIM">
      <formula>NOT(ISERROR(SEARCH(("SIM"),(S3))))</formula>
    </cfRule>
    <cfRule type="containsText" dxfId="22" priority="4" operator="containsText" text="NÃO">
      <formula>NOT(ISERROR(SEARCH(("NÃO"),(S3))))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761D"/>
    <outlinePr summaryBelow="0" summaryRight="0"/>
    <pageSetUpPr fitToPage="1"/>
  </sheetPr>
  <dimension ref="A1:AB14"/>
  <sheetViews>
    <sheetView showGridLines="0" workbookViewId="0"/>
  </sheetViews>
  <sheetFormatPr defaultColWidth="11.25" defaultRowHeight="15.75" customHeight="1"/>
  <cols>
    <col min="1" max="1" width="9.875" customWidth="1"/>
    <col min="2" max="2" width="78.25" customWidth="1"/>
    <col min="3" max="3" width="18" customWidth="1"/>
    <col min="4" max="4" width="16.75" customWidth="1"/>
    <col min="5" max="5" width="25.625" customWidth="1"/>
    <col min="6" max="6" width="16.75" customWidth="1"/>
    <col min="7" max="7" width="23.375" customWidth="1"/>
    <col min="11" max="11" width="78.25" customWidth="1"/>
    <col min="12" max="12" width="30" customWidth="1"/>
    <col min="13" max="13" width="49.5" customWidth="1"/>
    <col min="14" max="14" width="11.25" hidden="1"/>
    <col min="18" max="18" width="78.25" customWidth="1"/>
    <col min="19" max="19" width="27.75" customWidth="1"/>
    <col min="20" max="20" width="24.125" customWidth="1"/>
    <col min="21" max="21" width="22.25" customWidth="1"/>
    <col min="25" max="25" width="17.75" customWidth="1"/>
    <col min="26" max="26" width="30" customWidth="1"/>
    <col min="27" max="27" width="76" customWidth="1"/>
    <col min="28" max="28" width="11.25" hidden="1"/>
  </cols>
  <sheetData>
    <row r="1" spans="1:27">
      <c r="A1" s="55"/>
      <c r="B1" s="67"/>
      <c r="C1" s="67"/>
      <c r="D1" s="56" t="s">
        <v>511</v>
      </c>
      <c r="E1" s="67"/>
      <c r="F1" s="67"/>
      <c r="G1" s="57"/>
      <c r="J1" s="56" t="s">
        <v>5</v>
      </c>
      <c r="K1" s="56" t="s">
        <v>6</v>
      </c>
      <c r="L1" s="56" t="s">
        <v>9</v>
      </c>
      <c r="M1" s="70" t="s">
        <v>40</v>
      </c>
      <c r="Q1" s="55"/>
      <c r="R1" s="67"/>
      <c r="S1" s="67"/>
      <c r="T1" s="56" t="s">
        <v>511</v>
      </c>
      <c r="U1" s="57"/>
      <c r="X1" s="56" t="s">
        <v>5</v>
      </c>
      <c r="Y1" s="56" t="s">
        <v>15</v>
      </c>
      <c r="Z1" s="56" t="s">
        <v>9</v>
      </c>
      <c r="AA1" s="70" t="s">
        <v>6</v>
      </c>
    </row>
    <row r="2" spans="1:27">
      <c r="A2" s="56" t="s">
        <v>5</v>
      </c>
      <c r="B2" s="56" t="s">
        <v>6</v>
      </c>
      <c r="C2" s="56" t="s">
        <v>10</v>
      </c>
      <c r="D2" s="55" t="s">
        <v>20</v>
      </c>
      <c r="E2" s="73" t="s">
        <v>19</v>
      </c>
      <c r="F2" s="73" t="s">
        <v>21</v>
      </c>
      <c r="G2" s="58" t="s">
        <v>23</v>
      </c>
      <c r="J2" s="55">
        <v>2025</v>
      </c>
      <c r="K2" s="55" t="s">
        <v>282</v>
      </c>
      <c r="L2" s="55" t="s">
        <v>283</v>
      </c>
      <c r="M2" s="71" t="s">
        <v>513</v>
      </c>
      <c r="Q2" s="56" t="s">
        <v>5</v>
      </c>
      <c r="R2" s="56" t="s">
        <v>6</v>
      </c>
      <c r="S2" s="56" t="s">
        <v>9</v>
      </c>
      <c r="T2" s="55" t="s">
        <v>17</v>
      </c>
      <c r="U2" s="58" t="s">
        <v>152</v>
      </c>
      <c r="X2" s="55">
        <v>2024</v>
      </c>
      <c r="Y2" s="55">
        <v>5400020240014</v>
      </c>
      <c r="Z2" s="55" t="s">
        <v>43</v>
      </c>
      <c r="AA2" s="71" t="s">
        <v>42</v>
      </c>
    </row>
    <row r="3" spans="1:27">
      <c r="A3" s="55">
        <v>2025</v>
      </c>
      <c r="B3" s="55" t="s">
        <v>282</v>
      </c>
      <c r="C3" s="55" t="s">
        <v>286</v>
      </c>
      <c r="D3" s="59">
        <v>400000</v>
      </c>
      <c r="E3" s="74">
        <v>400000</v>
      </c>
      <c r="F3" s="74">
        <v>400000</v>
      </c>
      <c r="G3" s="60">
        <v>400000</v>
      </c>
      <c r="J3" s="68"/>
      <c r="K3" s="55" t="s">
        <v>149</v>
      </c>
      <c r="L3" s="55" t="s">
        <v>151</v>
      </c>
      <c r="M3" s="71" t="s">
        <v>513</v>
      </c>
      <c r="Q3" s="55">
        <v>2024</v>
      </c>
      <c r="R3" s="55" t="s">
        <v>42</v>
      </c>
      <c r="S3" s="55" t="s">
        <v>43</v>
      </c>
      <c r="T3" s="59">
        <v>45657</v>
      </c>
      <c r="U3" s="60">
        <v>46468</v>
      </c>
      <c r="X3" s="55">
        <v>2025</v>
      </c>
      <c r="Y3" s="55">
        <v>5400020250016</v>
      </c>
      <c r="Z3" s="55" t="s">
        <v>181</v>
      </c>
      <c r="AA3" s="71" t="s">
        <v>179</v>
      </c>
    </row>
    <row r="4" spans="1:27">
      <c r="A4" s="68"/>
      <c r="B4" s="55" t="s">
        <v>149</v>
      </c>
      <c r="C4" s="55" t="s">
        <v>154</v>
      </c>
      <c r="D4" s="59">
        <v>4000000</v>
      </c>
      <c r="E4" s="74">
        <v>4000000</v>
      </c>
      <c r="F4" s="74">
        <v>4000000</v>
      </c>
      <c r="G4" s="60">
        <v>4000000</v>
      </c>
      <c r="J4" s="68"/>
      <c r="K4" s="55" t="s">
        <v>202</v>
      </c>
      <c r="L4" s="55" t="s">
        <v>210</v>
      </c>
      <c r="M4" s="71" t="s">
        <v>513</v>
      </c>
      <c r="Q4" s="55">
        <v>2025</v>
      </c>
      <c r="R4" s="55" t="s">
        <v>282</v>
      </c>
      <c r="S4" s="55" t="s">
        <v>283</v>
      </c>
      <c r="T4" s="59">
        <v>46021</v>
      </c>
      <c r="U4" s="60">
        <v>46296</v>
      </c>
      <c r="X4" s="68"/>
      <c r="Y4" s="68"/>
      <c r="Z4" s="55" t="s">
        <v>241</v>
      </c>
      <c r="AA4" s="71" t="s">
        <v>238</v>
      </c>
    </row>
    <row r="5" spans="1:27">
      <c r="A5" s="68"/>
      <c r="B5" s="55" t="s">
        <v>202</v>
      </c>
      <c r="C5" s="55" t="s">
        <v>211</v>
      </c>
      <c r="D5" s="59">
        <v>450000</v>
      </c>
      <c r="E5" s="74">
        <v>450000</v>
      </c>
      <c r="F5" s="74">
        <v>450000</v>
      </c>
      <c r="G5" s="60"/>
      <c r="J5" s="68"/>
      <c r="K5" s="55" t="s">
        <v>91</v>
      </c>
      <c r="L5" s="55" t="s">
        <v>97</v>
      </c>
      <c r="M5" s="71" t="s">
        <v>513</v>
      </c>
      <c r="Q5" s="68"/>
      <c r="R5" s="55" t="s">
        <v>149</v>
      </c>
      <c r="S5" s="55" t="s">
        <v>151</v>
      </c>
      <c r="T5" s="59">
        <v>46022</v>
      </c>
      <c r="U5" s="60">
        <v>46392</v>
      </c>
      <c r="X5" s="68"/>
      <c r="Y5" s="68"/>
      <c r="Z5" s="55" t="s">
        <v>283</v>
      </c>
      <c r="AA5" s="71" t="s">
        <v>282</v>
      </c>
    </row>
    <row r="6" spans="1:27">
      <c r="A6" s="68"/>
      <c r="B6" s="55" t="s">
        <v>91</v>
      </c>
      <c r="C6" s="55" t="s">
        <v>98</v>
      </c>
      <c r="D6" s="59">
        <v>5000000</v>
      </c>
      <c r="E6" s="74">
        <v>5000000</v>
      </c>
      <c r="F6" s="74">
        <v>5000000</v>
      </c>
      <c r="G6" s="60">
        <v>5000000</v>
      </c>
      <c r="J6" s="68"/>
      <c r="K6" s="55" t="s">
        <v>179</v>
      </c>
      <c r="L6" s="55" t="s">
        <v>181</v>
      </c>
      <c r="M6" s="71" t="s">
        <v>513</v>
      </c>
      <c r="Q6" s="68"/>
      <c r="R6" s="55" t="s">
        <v>202</v>
      </c>
      <c r="S6" s="55" t="s">
        <v>210</v>
      </c>
      <c r="T6" s="59">
        <v>46022</v>
      </c>
      <c r="U6" s="60">
        <v>46482</v>
      </c>
      <c r="X6" s="68"/>
      <c r="Y6" s="68"/>
      <c r="Z6" s="55" t="s">
        <v>210</v>
      </c>
      <c r="AA6" s="71" t="s">
        <v>202</v>
      </c>
    </row>
    <row r="7" spans="1:27">
      <c r="A7" s="68"/>
      <c r="B7" s="55" t="s">
        <v>179</v>
      </c>
      <c r="C7" s="55" t="s">
        <v>182</v>
      </c>
      <c r="D7" s="59">
        <v>500000</v>
      </c>
      <c r="E7" s="74">
        <v>500000</v>
      </c>
      <c r="F7" s="74">
        <v>500000</v>
      </c>
      <c r="G7" s="60">
        <v>500000</v>
      </c>
      <c r="J7" s="68"/>
      <c r="K7" s="55" t="s">
        <v>121</v>
      </c>
      <c r="L7" s="55" t="s">
        <v>126</v>
      </c>
      <c r="M7" s="71" t="s">
        <v>513</v>
      </c>
      <c r="Q7" s="68"/>
      <c r="R7" s="55" t="s">
        <v>91</v>
      </c>
      <c r="S7" s="55" t="s">
        <v>97</v>
      </c>
      <c r="T7" s="59">
        <v>46022</v>
      </c>
      <c r="U7" s="60">
        <v>46538</v>
      </c>
      <c r="X7" s="68"/>
      <c r="Y7" s="68"/>
      <c r="Z7" s="55" t="s">
        <v>151</v>
      </c>
      <c r="AA7" s="71" t="s">
        <v>149</v>
      </c>
    </row>
    <row r="8" spans="1:27">
      <c r="A8" s="68"/>
      <c r="B8" s="55" t="s">
        <v>121</v>
      </c>
      <c r="C8" s="55" t="s">
        <v>129</v>
      </c>
      <c r="D8" s="59">
        <v>330000</v>
      </c>
      <c r="E8" s="74">
        <v>330000</v>
      </c>
      <c r="F8" s="74">
        <v>330000</v>
      </c>
      <c r="G8" s="60">
        <v>330000</v>
      </c>
      <c r="J8" s="68"/>
      <c r="K8" s="55" t="s">
        <v>238</v>
      </c>
      <c r="L8" s="55" t="s">
        <v>241</v>
      </c>
      <c r="M8" s="71" t="s">
        <v>513</v>
      </c>
      <c r="Q8" s="68"/>
      <c r="R8" s="55" t="s">
        <v>179</v>
      </c>
      <c r="S8" s="55" t="s">
        <v>181</v>
      </c>
      <c r="T8" s="59">
        <v>46021</v>
      </c>
      <c r="U8" s="60">
        <v>46511</v>
      </c>
      <c r="X8" s="68"/>
      <c r="Y8" s="68"/>
      <c r="Z8" s="55" t="s">
        <v>126</v>
      </c>
      <c r="AA8" s="71" t="s">
        <v>121</v>
      </c>
    </row>
    <row r="9" spans="1:27">
      <c r="A9" s="68"/>
      <c r="B9" s="55" t="s">
        <v>238</v>
      </c>
      <c r="C9" s="55" t="s">
        <v>242</v>
      </c>
      <c r="D9" s="59">
        <v>450000</v>
      </c>
      <c r="E9" s="74">
        <v>450000</v>
      </c>
      <c r="F9" s="74">
        <v>450000</v>
      </c>
      <c r="G9" s="60">
        <v>450000</v>
      </c>
      <c r="J9" s="55">
        <v>2026</v>
      </c>
      <c r="K9" s="55" t="s">
        <v>339</v>
      </c>
      <c r="L9" s="55" t="s">
        <v>340</v>
      </c>
      <c r="M9" s="71" t="s">
        <v>349</v>
      </c>
      <c r="Q9" s="68"/>
      <c r="R9" s="55" t="s">
        <v>121</v>
      </c>
      <c r="S9" s="55" t="s">
        <v>126</v>
      </c>
      <c r="T9" s="59">
        <v>46022</v>
      </c>
      <c r="U9" s="60">
        <v>46511</v>
      </c>
      <c r="X9" s="68"/>
      <c r="Y9" s="68"/>
      <c r="Z9" s="55" t="s">
        <v>97</v>
      </c>
      <c r="AA9" s="71" t="s">
        <v>91</v>
      </c>
    </row>
    <row r="10" spans="1:27">
      <c r="A10" s="55">
        <v>2026</v>
      </c>
      <c r="B10" s="55" t="s">
        <v>339</v>
      </c>
      <c r="C10" s="55" t="s">
        <v>341</v>
      </c>
      <c r="D10" s="59">
        <v>250000</v>
      </c>
      <c r="E10" s="74">
        <v>250000</v>
      </c>
      <c r="F10" s="74">
        <v>250000</v>
      </c>
      <c r="G10" s="60"/>
      <c r="J10" s="68"/>
      <c r="K10" s="55" t="s">
        <v>320</v>
      </c>
      <c r="L10" s="55" t="s">
        <v>326</v>
      </c>
      <c r="M10" s="71" t="s">
        <v>336</v>
      </c>
      <c r="Q10" s="68"/>
      <c r="R10" s="55" t="s">
        <v>238</v>
      </c>
      <c r="S10" s="55" t="s">
        <v>241</v>
      </c>
      <c r="T10" s="59">
        <v>46021</v>
      </c>
      <c r="U10" s="60">
        <v>46356</v>
      </c>
      <c r="X10" s="55">
        <v>2026</v>
      </c>
      <c r="Y10" s="55">
        <v>5400020260009</v>
      </c>
      <c r="Z10" s="55" t="s">
        <v>340</v>
      </c>
      <c r="AA10" s="71" t="s">
        <v>339</v>
      </c>
    </row>
    <row r="11" spans="1:27">
      <c r="A11" s="68"/>
      <c r="B11" s="55" t="s">
        <v>320</v>
      </c>
      <c r="C11" s="55" t="s">
        <v>328</v>
      </c>
      <c r="D11" s="59">
        <v>2500000</v>
      </c>
      <c r="E11" s="74">
        <v>2500000</v>
      </c>
      <c r="F11" s="74">
        <v>2500000</v>
      </c>
      <c r="G11" s="60"/>
      <c r="J11" s="69"/>
      <c r="K11" s="64" t="s">
        <v>301</v>
      </c>
      <c r="L11" s="64" t="s">
        <v>513</v>
      </c>
      <c r="M11" s="72" t="s">
        <v>316</v>
      </c>
      <c r="Q11" s="55">
        <v>2026</v>
      </c>
      <c r="R11" s="55" t="s">
        <v>339</v>
      </c>
      <c r="S11" s="55" t="s">
        <v>340</v>
      </c>
      <c r="T11" s="59">
        <v>46174</v>
      </c>
      <c r="U11" s="60">
        <v>46539</v>
      </c>
      <c r="X11" s="68"/>
      <c r="Y11" s="55">
        <v>5400020260023</v>
      </c>
      <c r="Z11" s="55" t="s">
        <v>326</v>
      </c>
      <c r="AA11" s="71" t="s">
        <v>320</v>
      </c>
    </row>
    <row r="12" spans="1:27">
      <c r="A12" s="68"/>
      <c r="B12" s="55" t="s">
        <v>352</v>
      </c>
      <c r="C12" s="55" t="s">
        <v>356</v>
      </c>
      <c r="D12" s="59">
        <v>500000</v>
      </c>
      <c r="E12" s="74">
        <v>500000</v>
      </c>
      <c r="F12" s="74"/>
      <c r="G12" s="60"/>
      <c r="Q12" s="68"/>
      <c r="R12" s="55" t="s">
        <v>320</v>
      </c>
      <c r="S12" s="55" t="s">
        <v>326</v>
      </c>
      <c r="T12" s="59">
        <v>46222</v>
      </c>
      <c r="U12" s="60">
        <v>46586</v>
      </c>
      <c r="X12" s="69"/>
      <c r="Y12" s="69"/>
      <c r="Z12" s="64" t="s">
        <v>513</v>
      </c>
      <c r="AA12" s="72" t="s">
        <v>301</v>
      </c>
    </row>
    <row r="13" spans="1:27">
      <c r="A13" s="68"/>
      <c r="B13" s="55" t="s">
        <v>301</v>
      </c>
      <c r="C13" s="55" t="s">
        <v>308</v>
      </c>
      <c r="D13" s="59">
        <v>2500000</v>
      </c>
      <c r="E13" s="74">
        <v>2500000</v>
      </c>
      <c r="F13" s="74"/>
      <c r="G13" s="60"/>
      <c r="Q13" s="69"/>
      <c r="R13" s="64" t="s">
        <v>301</v>
      </c>
      <c r="S13" s="64" t="s">
        <v>513</v>
      </c>
      <c r="T13" s="65">
        <v>46178</v>
      </c>
      <c r="U13" s="66">
        <v>46542</v>
      </c>
    </row>
    <row r="14" spans="1:27" ht="15.75" customHeight="1">
      <c r="A14" s="64" t="s">
        <v>512</v>
      </c>
      <c r="B14" s="75"/>
      <c r="C14" s="75"/>
      <c r="D14" s="65">
        <v>16880000</v>
      </c>
      <c r="E14" s="76">
        <v>16880000</v>
      </c>
      <c r="F14" s="76">
        <v>13880000</v>
      </c>
      <c r="G14" s="66">
        <v>10680000</v>
      </c>
    </row>
  </sheetData>
  <conditionalFormatting sqref="J2:J11 A2:A12 Q2:Q12 X2:X12">
    <cfRule type="containsText" dxfId="21" priority="6" operator="containsText" text="2024">
      <formula>NOT(ISERROR(SEARCH(("2024"),(A2))))</formula>
    </cfRule>
    <cfRule type="containsText" dxfId="20" priority="7" operator="containsText" text="2025">
      <formula>NOT(ISERROR(SEARCH(("2025"),(A2))))</formula>
    </cfRule>
    <cfRule type="containsText" dxfId="19" priority="8" operator="containsText" text="2026">
      <formula>NOT(ISERROR(SEARCH(("2026"),(A2))))</formula>
    </cfRule>
  </conditionalFormatting>
  <conditionalFormatting sqref="T2:U2">
    <cfRule type="cellIs" dxfId="18" priority="1" operator="between">
      <formula>"01/01/2024"</formula>
      <formula>"31/12/2024"</formula>
    </cfRule>
    <cfRule type="cellIs" dxfId="17" priority="2" operator="between">
      <formula>"01/01/2025"</formula>
      <formula>"31/12/2025"</formula>
    </cfRule>
    <cfRule type="cellIs" dxfId="16" priority="3" operator="between">
      <formula>"01/01/2026"</formula>
      <formula>"31/12/2026"</formula>
    </cfRule>
    <cfRule type="cellIs" dxfId="15" priority="4" operator="between">
      <formula>"01/01/2027"</formula>
      <formula>"31/12/2027"</formula>
    </cfRule>
    <cfRule type="cellIs" dxfId="14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9000"/>
    <outlinePr summaryBelow="0" summaryRight="0"/>
  </sheetPr>
  <dimension ref="A1:P6"/>
  <sheetViews>
    <sheetView workbookViewId="0"/>
  </sheetViews>
  <sheetFormatPr defaultColWidth="11.25" defaultRowHeight="15.75" customHeight="1"/>
  <cols>
    <col min="1" max="1" width="9.125" customWidth="1"/>
    <col min="2" max="2" width="44.375" customWidth="1"/>
    <col min="3" max="3" width="12.75" customWidth="1"/>
    <col min="4" max="4" width="15.75" customWidth="1"/>
    <col min="5" max="5" width="21.125" customWidth="1"/>
    <col min="6" max="7" width="12.875" customWidth="1"/>
    <col min="8" max="9" width="13.25" customWidth="1"/>
    <col min="10" max="13" width="15.25" customWidth="1"/>
    <col min="14" max="14" width="15.625" customWidth="1"/>
    <col min="15" max="15" width="33.625" customWidth="1"/>
  </cols>
  <sheetData>
    <row r="1" spans="1:16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8"/>
      <c r="L1" s="46" t="s">
        <v>1</v>
      </c>
      <c r="M1" s="48"/>
      <c r="N1" s="1" t="s">
        <v>443</v>
      </c>
      <c r="O1" s="1" t="s">
        <v>3</v>
      </c>
    </row>
    <row r="2" spans="1:16">
      <c r="A2" s="2" t="s">
        <v>5</v>
      </c>
      <c r="B2" s="2" t="s">
        <v>6</v>
      </c>
      <c r="C2" s="2" t="s">
        <v>7</v>
      </c>
      <c r="D2" s="2" t="s">
        <v>9</v>
      </c>
      <c r="E2" s="2" t="s">
        <v>11</v>
      </c>
      <c r="F2" s="3" t="s">
        <v>14</v>
      </c>
      <c r="G2" s="2" t="s">
        <v>16</v>
      </c>
      <c r="H2" s="2" t="s">
        <v>17</v>
      </c>
      <c r="I2" s="2" t="s">
        <v>18</v>
      </c>
      <c r="J2" s="2" t="s">
        <v>444</v>
      </c>
      <c r="K2" s="2" t="s">
        <v>20</v>
      </c>
      <c r="L2" s="2" t="s">
        <v>22</v>
      </c>
      <c r="M2" s="2" t="s">
        <v>23</v>
      </c>
      <c r="N2" s="2" t="s">
        <v>445</v>
      </c>
      <c r="O2" s="2" t="s">
        <v>446</v>
      </c>
      <c r="P2" s="2" t="s">
        <v>29</v>
      </c>
    </row>
    <row r="3" spans="1:16">
      <c r="A3" s="5">
        <v>2025</v>
      </c>
      <c r="B3" s="6" t="s">
        <v>447</v>
      </c>
      <c r="C3" s="5" t="s">
        <v>170</v>
      </c>
      <c r="D3" s="5" t="s">
        <v>448</v>
      </c>
      <c r="E3" s="5" t="s">
        <v>449</v>
      </c>
      <c r="F3" s="5" t="s">
        <v>87</v>
      </c>
      <c r="G3" s="5" t="s">
        <v>348</v>
      </c>
      <c r="H3" s="9">
        <v>45995</v>
      </c>
      <c r="I3" s="9">
        <v>46543</v>
      </c>
      <c r="J3" s="12">
        <v>5000000</v>
      </c>
      <c r="K3" s="12">
        <v>5000000</v>
      </c>
      <c r="L3" s="6" t="s">
        <v>41</v>
      </c>
      <c r="M3" s="12">
        <v>5000000</v>
      </c>
      <c r="N3" s="5" t="s">
        <v>450</v>
      </c>
      <c r="O3" s="6"/>
      <c r="P3" s="9">
        <v>45999</v>
      </c>
    </row>
    <row r="4" spans="1:16">
      <c r="A4" s="5">
        <v>2025</v>
      </c>
      <c r="B4" s="6" t="s">
        <v>451</v>
      </c>
      <c r="C4" s="5" t="s">
        <v>170</v>
      </c>
      <c r="D4" s="5" t="s">
        <v>452</v>
      </c>
      <c r="E4" s="5" t="s">
        <v>453</v>
      </c>
      <c r="F4" s="5" t="s">
        <v>87</v>
      </c>
      <c r="G4" s="5" t="s">
        <v>348</v>
      </c>
      <c r="H4" s="8">
        <v>46022</v>
      </c>
      <c r="I4" s="9">
        <v>46399</v>
      </c>
      <c r="J4" s="12">
        <v>5000000</v>
      </c>
      <c r="K4" s="12">
        <v>5000000</v>
      </c>
      <c r="L4" s="6" t="s">
        <v>41</v>
      </c>
      <c r="M4" s="12">
        <v>5000000</v>
      </c>
      <c r="N4" s="5" t="s">
        <v>450</v>
      </c>
      <c r="O4" s="6"/>
      <c r="P4" s="9">
        <v>46022</v>
      </c>
    </row>
    <row r="5" spans="1:16">
      <c r="A5" s="5">
        <v>2025</v>
      </c>
      <c r="B5" s="6" t="s">
        <v>454</v>
      </c>
      <c r="C5" s="5" t="s">
        <v>170</v>
      </c>
      <c r="D5" s="5" t="s">
        <v>455</v>
      </c>
      <c r="E5" s="5" t="s">
        <v>456</v>
      </c>
      <c r="F5" s="5" t="s">
        <v>87</v>
      </c>
      <c r="G5" s="5" t="s">
        <v>348</v>
      </c>
      <c r="H5" s="9">
        <v>45965</v>
      </c>
      <c r="I5" s="9">
        <v>46507</v>
      </c>
      <c r="J5" s="12">
        <v>4002240</v>
      </c>
      <c r="K5" s="12">
        <v>4002240</v>
      </c>
      <c r="L5" s="6" t="s">
        <v>41</v>
      </c>
      <c r="M5" s="12">
        <v>3500000</v>
      </c>
      <c r="N5" s="5" t="s">
        <v>450</v>
      </c>
      <c r="O5" s="6" t="s">
        <v>457</v>
      </c>
      <c r="P5" s="9"/>
    </row>
    <row r="6" spans="1:16">
      <c r="A6" s="5">
        <v>2025</v>
      </c>
      <c r="B6" s="6" t="s">
        <v>458</v>
      </c>
      <c r="C6" s="5" t="s">
        <v>123</v>
      </c>
      <c r="D6" s="5" t="s">
        <v>459</v>
      </c>
      <c r="E6" s="5" t="s">
        <v>460</v>
      </c>
      <c r="F6" s="5" t="s">
        <v>87</v>
      </c>
      <c r="G6" s="5" t="s">
        <v>348</v>
      </c>
      <c r="H6" s="8">
        <v>46003</v>
      </c>
      <c r="I6" s="8">
        <v>46368</v>
      </c>
      <c r="J6" s="12">
        <v>12500000</v>
      </c>
      <c r="K6" s="12">
        <v>12500000</v>
      </c>
      <c r="L6" s="6" t="s">
        <v>41</v>
      </c>
      <c r="M6" s="12">
        <v>12500000</v>
      </c>
      <c r="N6" s="5" t="s">
        <v>450</v>
      </c>
      <c r="O6" s="6"/>
      <c r="P6" s="9">
        <v>46086</v>
      </c>
    </row>
  </sheetData>
  <autoFilter ref="A2:O6" xr:uid="{00000000-0009-0000-0000-000004000000}"/>
  <mergeCells count="2">
    <mergeCell ref="A1:K1"/>
    <mergeCell ref="L1:M1"/>
  </mergeCells>
  <conditionalFormatting sqref="A3:A6">
    <cfRule type="containsText" dxfId="13" priority="1" operator="containsText" text="2025">
      <formula>NOT(ISERROR(SEARCH(("2025"),(A3))))</formula>
    </cfRule>
    <cfRule type="containsText" dxfId="12" priority="2" operator="containsText" text="2026">
      <formula>NOT(ISERROR(SEARCH(("2026"),(A3))))</formula>
    </cfRule>
    <cfRule type="containsText" dxfId="11" priority="3" operator="containsText" text="2024">
      <formula>NOT(ISERROR(SEARCH(("2024"),(A3))))</formula>
    </cfRule>
  </conditionalFormatting>
  <conditionalFormatting sqref="L3:L6">
    <cfRule type="containsText" dxfId="10" priority="4" operator="containsText" text="SIM">
      <formula>NOT(ISERROR(SEARCH(("SIM"),(L3))))</formula>
    </cfRule>
    <cfRule type="containsText" dxfId="9" priority="5" operator="containsText" text="NÃO">
      <formula>NOT(ISERROR(SEARCH(("NÃO"),(L3))))</formula>
    </cfRule>
  </conditionalFormatting>
  <conditionalFormatting sqref="N3:N6">
    <cfRule type="containsText" dxfId="8" priority="6" operator="containsText" text="SIM">
      <formula>NOT(ISERROR(SEARCH(("SIM"),(N3))))</formula>
    </cfRule>
    <cfRule type="containsText" dxfId="7" priority="7" operator="containsText" text="NÃO">
      <formula>NOT(ISERROR(SEARCH(("NÃO"),(N3))))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1"/>
  <sheetViews>
    <sheetView workbookViewId="0"/>
  </sheetViews>
  <sheetFormatPr defaultColWidth="11.25" defaultRowHeight="15.75" customHeight="1"/>
  <cols>
    <col min="2" max="2" width="40" customWidth="1"/>
    <col min="3" max="3" width="10" customWidth="1"/>
    <col min="4" max="4" width="20.125" customWidth="1"/>
    <col min="6" max="6" width="17.375" customWidth="1"/>
    <col min="7" max="7" width="10" customWidth="1"/>
    <col min="8" max="8" width="13.625" customWidth="1"/>
    <col min="9" max="9" width="12.75" customWidth="1"/>
    <col min="10" max="10" width="13.125" customWidth="1"/>
    <col min="12" max="12" width="13.5" customWidth="1"/>
    <col min="13" max="14" width="15.375" customWidth="1"/>
    <col min="15" max="15" width="30.25" customWidth="1"/>
  </cols>
  <sheetData>
    <row r="1" spans="1:15">
      <c r="A1" s="49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9" t="s">
        <v>1</v>
      </c>
      <c r="L1" s="48"/>
      <c r="M1" s="49" t="s">
        <v>2</v>
      </c>
      <c r="N1" s="48"/>
      <c r="O1" s="24" t="s">
        <v>3</v>
      </c>
    </row>
    <row r="2" spans="1:15">
      <c r="A2" s="25" t="s">
        <v>5</v>
      </c>
      <c r="B2" s="25" t="s">
        <v>6</v>
      </c>
      <c r="C2" s="25" t="s">
        <v>7</v>
      </c>
      <c r="D2" s="25" t="s">
        <v>9</v>
      </c>
      <c r="E2" s="25" t="s">
        <v>10</v>
      </c>
      <c r="F2" s="25" t="s">
        <v>11</v>
      </c>
      <c r="G2" s="25" t="s">
        <v>14</v>
      </c>
      <c r="H2" s="25" t="s">
        <v>16</v>
      </c>
      <c r="I2" s="25" t="s">
        <v>19</v>
      </c>
      <c r="J2" s="25" t="s">
        <v>20</v>
      </c>
      <c r="K2" s="25" t="s">
        <v>22</v>
      </c>
      <c r="L2" s="25" t="s">
        <v>23</v>
      </c>
      <c r="M2" s="25" t="s">
        <v>24</v>
      </c>
      <c r="N2" s="25" t="s">
        <v>25</v>
      </c>
      <c r="O2" s="25" t="s">
        <v>26</v>
      </c>
    </row>
    <row r="3" spans="1:15">
      <c r="A3" s="26">
        <v>2025</v>
      </c>
      <c r="B3" s="27" t="s">
        <v>461</v>
      </c>
      <c r="C3" s="26" t="s">
        <v>68</v>
      </c>
      <c r="D3" s="26" t="s">
        <v>311</v>
      </c>
      <c r="E3" s="26" t="s">
        <v>312</v>
      </c>
      <c r="F3" s="26" t="s">
        <v>314</v>
      </c>
      <c r="G3" s="26" t="s">
        <v>87</v>
      </c>
      <c r="H3" s="27" t="s">
        <v>118</v>
      </c>
      <c r="I3" s="28">
        <v>2600000</v>
      </c>
      <c r="J3" s="28">
        <v>2630400</v>
      </c>
      <c r="K3" s="29" t="s">
        <v>41</v>
      </c>
      <c r="L3" s="28">
        <v>2630400</v>
      </c>
      <c r="M3" s="29" t="s">
        <v>41</v>
      </c>
      <c r="N3" s="30" t="s">
        <v>76</v>
      </c>
      <c r="O3" s="31"/>
    </row>
    <row r="4" spans="1:15">
      <c r="A4" s="26">
        <v>2025</v>
      </c>
      <c r="B4" s="27" t="s">
        <v>462</v>
      </c>
      <c r="C4" s="26" t="s">
        <v>68</v>
      </c>
      <c r="D4" s="26" t="s">
        <v>269</v>
      </c>
      <c r="E4" s="26" t="s">
        <v>358</v>
      </c>
      <c r="F4" s="26" t="s">
        <v>359</v>
      </c>
      <c r="G4" s="26" t="s">
        <v>87</v>
      </c>
      <c r="H4" s="27" t="s">
        <v>360</v>
      </c>
      <c r="I4" s="28">
        <v>1500000</v>
      </c>
      <c r="J4" s="28">
        <v>1502000</v>
      </c>
      <c r="K4" s="29" t="s">
        <v>41</v>
      </c>
      <c r="L4" s="28">
        <v>1500000</v>
      </c>
      <c r="M4" s="29" t="s">
        <v>41</v>
      </c>
      <c r="N4" s="30" t="s">
        <v>76</v>
      </c>
      <c r="O4" s="31"/>
    </row>
    <row r="5" spans="1:15">
      <c r="A5" s="26">
        <v>2025</v>
      </c>
      <c r="B5" s="27" t="s">
        <v>372</v>
      </c>
      <c r="C5" s="26" t="s">
        <v>31</v>
      </c>
      <c r="D5" s="26" t="s">
        <v>373</v>
      </c>
      <c r="E5" s="26" t="s">
        <v>374</v>
      </c>
      <c r="F5" s="26" t="s">
        <v>375</v>
      </c>
      <c r="G5" s="26" t="s">
        <v>37</v>
      </c>
      <c r="H5" s="27" t="s">
        <v>54</v>
      </c>
      <c r="I5" s="28">
        <v>500000</v>
      </c>
      <c r="J5" s="28">
        <v>500000</v>
      </c>
      <c r="K5" s="29" t="s">
        <v>41</v>
      </c>
      <c r="L5" s="28">
        <v>500000</v>
      </c>
      <c r="M5" s="29" t="s">
        <v>41</v>
      </c>
      <c r="N5" s="30" t="s">
        <v>76</v>
      </c>
      <c r="O5" s="31"/>
    </row>
    <row r="6" spans="1:15">
      <c r="A6" s="26">
        <v>2025</v>
      </c>
      <c r="B6" s="27" t="s">
        <v>91</v>
      </c>
      <c r="C6" s="26" t="s">
        <v>92</v>
      </c>
      <c r="D6" s="26" t="s">
        <v>97</v>
      </c>
      <c r="E6" s="26" t="s">
        <v>98</v>
      </c>
      <c r="F6" s="26" t="s">
        <v>101</v>
      </c>
      <c r="G6" s="26" t="s">
        <v>87</v>
      </c>
      <c r="H6" s="27" t="s">
        <v>109</v>
      </c>
      <c r="I6" s="32">
        <v>5000000</v>
      </c>
      <c r="J6" s="32">
        <v>5000000</v>
      </c>
      <c r="K6" s="29" t="s">
        <v>41</v>
      </c>
      <c r="L6" s="32">
        <v>5000000</v>
      </c>
      <c r="M6" s="30" t="s">
        <v>76</v>
      </c>
      <c r="N6" s="30" t="s">
        <v>76</v>
      </c>
      <c r="O6" s="31"/>
    </row>
    <row r="7" spans="1:15">
      <c r="A7" s="26">
        <v>2025</v>
      </c>
      <c r="B7" s="27" t="s">
        <v>121</v>
      </c>
      <c r="C7" s="26" t="s">
        <v>123</v>
      </c>
      <c r="D7" s="26" t="s">
        <v>126</v>
      </c>
      <c r="E7" s="26" t="s">
        <v>129</v>
      </c>
      <c r="F7" s="26" t="s">
        <v>132</v>
      </c>
      <c r="G7" s="26" t="s">
        <v>87</v>
      </c>
      <c r="H7" s="27" t="s">
        <v>118</v>
      </c>
      <c r="I7" s="32">
        <v>330000</v>
      </c>
      <c r="J7" s="32">
        <v>330000</v>
      </c>
      <c r="K7" s="29" t="s">
        <v>41</v>
      </c>
      <c r="L7" s="32">
        <v>330000</v>
      </c>
      <c r="M7" s="30" t="s">
        <v>76</v>
      </c>
      <c r="N7" s="30" t="s">
        <v>76</v>
      </c>
      <c r="O7" s="31"/>
    </row>
    <row r="8" spans="1:15">
      <c r="A8" s="26">
        <v>2025</v>
      </c>
      <c r="B8" s="27" t="s">
        <v>149</v>
      </c>
      <c r="C8" s="26" t="s">
        <v>141</v>
      </c>
      <c r="D8" s="26" t="s">
        <v>151</v>
      </c>
      <c r="E8" s="26" t="s">
        <v>154</v>
      </c>
      <c r="F8" s="26" t="s">
        <v>156</v>
      </c>
      <c r="G8" s="26" t="s">
        <v>87</v>
      </c>
      <c r="H8" s="27" t="s">
        <v>162</v>
      </c>
      <c r="I8" s="32">
        <v>4000000</v>
      </c>
      <c r="J8" s="32">
        <v>4000000</v>
      </c>
      <c r="K8" s="29" t="s">
        <v>41</v>
      </c>
      <c r="L8" s="32">
        <v>4000000</v>
      </c>
      <c r="M8" s="30" t="s">
        <v>76</v>
      </c>
      <c r="N8" s="30" t="s">
        <v>76</v>
      </c>
      <c r="O8" s="31"/>
    </row>
    <row r="9" spans="1:15">
      <c r="A9" s="26">
        <v>2025</v>
      </c>
      <c r="B9" s="27" t="s">
        <v>179</v>
      </c>
      <c r="C9" s="26" t="s">
        <v>123</v>
      </c>
      <c r="D9" s="26" t="s">
        <v>181</v>
      </c>
      <c r="E9" s="26" t="s">
        <v>463</v>
      </c>
      <c r="F9" s="26" t="s">
        <v>183</v>
      </c>
      <c r="G9" s="26" t="s">
        <v>87</v>
      </c>
      <c r="H9" s="27" t="s">
        <v>118</v>
      </c>
      <c r="I9" s="32">
        <v>500000</v>
      </c>
      <c r="J9" s="32">
        <v>500000</v>
      </c>
      <c r="K9" s="29" t="s">
        <v>41</v>
      </c>
      <c r="L9" s="32">
        <v>500000</v>
      </c>
      <c r="M9" s="30" t="s">
        <v>76</v>
      </c>
      <c r="N9" s="30" t="s">
        <v>76</v>
      </c>
      <c r="O9" s="31"/>
    </row>
    <row r="10" spans="1:15">
      <c r="A10" s="26">
        <v>2025</v>
      </c>
      <c r="B10" s="27" t="s">
        <v>238</v>
      </c>
      <c r="C10" s="26" t="s">
        <v>141</v>
      </c>
      <c r="D10" s="26" t="s">
        <v>241</v>
      </c>
      <c r="E10" s="26" t="s">
        <v>242</v>
      </c>
      <c r="F10" s="26" t="s">
        <v>244</v>
      </c>
      <c r="G10" s="26" t="s">
        <v>87</v>
      </c>
      <c r="H10" s="27" t="s">
        <v>259</v>
      </c>
      <c r="I10" s="32">
        <v>450000</v>
      </c>
      <c r="J10" s="32">
        <v>450000</v>
      </c>
      <c r="K10" s="29" t="s">
        <v>41</v>
      </c>
      <c r="L10" s="32">
        <v>450000</v>
      </c>
      <c r="M10" s="30" t="s">
        <v>76</v>
      </c>
      <c r="N10" s="30" t="s">
        <v>76</v>
      </c>
      <c r="O10" s="31"/>
    </row>
    <row r="11" spans="1:15">
      <c r="A11" s="26">
        <v>2025</v>
      </c>
      <c r="B11" s="27" t="s">
        <v>282</v>
      </c>
      <c r="C11" s="26" t="s">
        <v>141</v>
      </c>
      <c r="D11" s="26" t="s">
        <v>283</v>
      </c>
      <c r="E11" s="26" t="s">
        <v>286</v>
      </c>
      <c r="F11" s="26" t="s">
        <v>287</v>
      </c>
      <c r="G11" s="26" t="s">
        <v>87</v>
      </c>
      <c r="H11" s="27" t="s">
        <v>293</v>
      </c>
      <c r="I11" s="32">
        <v>400000</v>
      </c>
      <c r="J11" s="32">
        <v>400000</v>
      </c>
      <c r="K11" s="29" t="s">
        <v>41</v>
      </c>
      <c r="L11" s="32">
        <v>400000</v>
      </c>
      <c r="M11" s="30" t="s">
        <v>76</v>
      </c>
      <c r="N11" s="30" t="s">
        <v>76</v>
      </c>
      <c r="O11" s="31"/>
    </row>
  </sheetData>
  <mergeCells count="3">
    <mergeCell ref="A1:J1"/>
    <mergeCell ref="K1:L1"/>
    <mergeCell ref="M1:N1"/>
  </mergeCells>
  <conditionalFormatting sqref="K3:N11">
    <cfRule type="containsText" dxfId="6" priority="1" operator="containsText" text="SIM">
      <formula>NOT(ISERROR(SEARCH(("SIM"),(K3))))</formula>
    </cfRule>
    <cfRule type="containsText" dxfId="5" priority="2" operator="containsText" text="NÃO">
      <formula>NOT(ISERROR(SEARCH(("NÃO"),(K3))))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42"/>
  <sheetViews>
    <sheetView workbookViewId="0"/>
  </sheetViews>
  <sheetFormatPr defaultColWidth="11.25" defaultRowHeight="15.75" customHeight="1"/>
  <cols>
    <col min="1" max="1" width="39.875" customWidth="1"/>
    <col min="3" max="3" width="14" customWidth="1"/>
    <col min="4" max="4" width="19.5" customWidth="1"/>
    <col min="5" max="5" width="19" customWidth="1"/>
    <col min="6" max="7" width="15.25" customWidth="1"/>
    <col min="8" max="8" width="15.75" customWidth="1"/>
    <col min="9" max="9" width="15.25" customWidth="1"/>
    <col min="10" max="10" width="15.5" customWidth="1"/>
    <col min="11" max="11" width="14.375" customWidth="1"/>
    <col min="12" max="12" width="12.375" customWidth="1"/>
    <col min="13" max="14" width="15.125" customWidth="1"/>
    <col min="19" max="19" width="36.5" customWidth="1"/>
    <col min="20" max="20" width="15.875" customWidth="1"/>
  </cols>
  <sheetData>
    <row r="1" spans="1:21">
      <c r="A1" s="2" t="s">
        <v>6</v>
      </c>
      <c r="B1" s="2" t="s">
        <v>7</v>
      </c>
      <c r="C1" s="2" t="s">
        <v>9</v>
      </c>
      <c r="D1" s="2" t="s">
        <v>10</v>
      </c>
      <c r="E1" s="2" t="s">
        <v>11</v>
      </c>
      <c r="F1" s="2" t="s">
        <v>14</v>
      </c>
      <c r="G1" s="2" t="s">
        <v>19</v>
      </c>
      <c r="H1" s="2" t="s">
        <v>464</v>
      </c>
      <c r="I1" s="2" t="s">
        <v>465</v>
      </c>
      <c r="J1" s="2" t="s">
        <v>22</v>
      </c>
      <c r="K1" s="2" t="s">
        <v>23</v>
      </c>
      <c r="L1" s="2" t="s">
        <v>466</v>
      </c>
      <c r="M1" s="2" t="s">
        <v>24</v>
      </c>
      <c r="N1" s="2" t="s">
        <v>25</v>
      </c>
    </row>
    <row r="2" spans="1:21">
      <c r="A2" s="6" t="s">
        <v>79</v>
      </c>
      <c r="B2" s="5" t="s">
        <v>31</v>
      </c>
      <c r="C2" s="5" t="s">
        <v>82</v>
      </c>
      <c r="D2" s="5" t="s">
        <v>83</v>
      </c>
      <c r="E2" s="5" t="s">
        <v>84</v>
      </c>
      <c r="F2" s="5" t="s">
        <v>87</v>
      </c>
      <c r="G2" s="10">
        <v>450000</v>
      </c>
      <c r="H2" s="10">
        <v>455000</v>
      </c>
      <c r="I2" s="10">
        <v>450000</v>
      </c>
      <c r="J2" s="6" t="s">
        <v>76</v>
      </c>
      <c r="K2" s="10"/>
      <c r="L2" s="33">
        <f t="shared" ref="L2:L25" si="0">IFERROR(K2/I2,"")</f>
        <v>0</v>
      </c>
      <c r="M2" s="6" t="s">
        <v>76</v>
      </c>
      <c r="N2" s="6" t="s">
        <v>76</v>
      </c>
      <c r="T2" s="34"/>
    </row>
    <row r="3" spans="1:21">
      <c r="A3" s="6" t="s">
        <v>99</v>
      </c>
      <c r="B3" s="5" t="s">
        <v>100</v>
      </c>
      <c r="C3" s="5" t="s">
        <v>103</v>
      </c>
      <c r="D3" s="5" t="s">
        <v>105</v>
      </c>
      <c r="E3" s="5" t="s">
        <v>106</v>
      </c>
      <c r="F3" s="5" t="s">
        <v>87</v>
      </c>
      <c r="G3" s="10">
        <v>450000</v>
      </c>
      <c r="H3" s="10">
        <v>455377.26</v>
      </c>
      <c r="I3" s="10">
        <v>450000</v>
      </c>
      <c r="J3" s="6" t="s">
        <v>76</v>
      </c>
      <c r="K3" s="10"/>
      <c r="L3" s="33">
        <f t="shared" si="0"/>
        <v>0</v>
      </c>
      <c r="M3" s="6" t="s">
        <v>76</v>
      </c>
      <c r="N3" s="6" t="s">
        <v>76</v>
      </c>
      <c r="S3" s="50" t="s">
        <v>471</v>
      </c>
      <c r="T3" s="47"/>
      <c r="U3" s="48"/>
    </row>
    <row r="4" spans="1:21">
      <c r="A4" s="6" t="s">
        <v>113</v>
      </c>
      <c r="B4" s="5" t="s">
        <v>31</v>
      </c>
      <c r="C4" s="5" t="s">
        <v>114</v>
      </c>
      <c r="D4" s="5" t="s">
        <v>115</v>
      </c>
      <c r="E4" s="5" t="s">
        <v>116</v>
      </c>
      <c r="F4" s="5" t="s">
        <v>87</v>
      </c>
      <c r="G4" s="10">
        <v>2994000</v>
      </c>
      <c r="H4" s="10">
        <v>3000000</v>
      </c>
      <c r="I4" s="10">
        <v>2994000</v>
      </c>
      <c r="J4" s="6" t="s">
        <v>76</v>
      </c>
      <c r="K4" s="10"/>
      <c r="L4" s="33">
        <f t="shared" si="0"/>
        <v>0</v>
      </c>
      <c r="M4" s="6" t="s">
        <v>41</v>
      </c>
      <c r="N4" s="6" t="s">
        <v>41</v>
      </c>
      <c r="S4" s="7"/>
      <c r="T4" s="36" t="s">
        <v>473</v>
      </c>
      <c r="U4" s="36" t="s">
        <v>474</v>
      </c>
    </row>
    <row r="5" spans="1:21">
      <c r="A5" s="6" t="s">
        <v>127</v>
      </c>
      <c r="B5" s="5" t="s">
        <v>128</v>
      </c>
      <c r="C5" s="5" t="s">
        <v>131</v>
      </c>
      <c r="D5" s="5" t="s">
        <v>133</v>
      </c>
      <c r="E5" s="5" t="s">
        <v>134</v>
      </c>
      <c r="F5" s="5" t="s">
        <v>87</v>
      </c>
      <c r="G5" s="10">
        <v>990000</v>
      </c>
      <c r="H5" s="10">
        <v>1000000</v>
      </c>
      <c r="I5" s="10">
        <v>1000000</v>
      </c>
      <c r="J5" s="6" t="s">
        <v>76</v>
      </c>
      <c r="K5" s="10"/>
      <c r="L5" s="33">
        <f t="shared" si="0"/>
        <v>0</v>
      </c>
      <c r="M5" s="6" t="s">
        <v>41</v>
      </c>
      <c r="N5" s="6" t="s">
        <v>41</v>
      </c>
      <c r="S5" s="37" t="s">
        <v>476</v>
      </c>
      <c r="T5" s="7">
        <f>COUNTA(A2:A25)</f>
        <v>24</v>
      </c>
      <c r="U5" s="38">
        <f>100%</f>
        <v>1</v>
      </c>
    </row>
    <row r="6" spans="1:21">
      <c r="A6" s="6" t="s">
        <v>140</v>
      </c>
      <c r="B6" s="5" t="s">
        <v>141</v>
      </c>
      <c r="C6" s="5" t="s">
        <v>143</v>
      </c>
      <c r="D6" s="5" t="s">
        <v>144</v>
      </c>
      <c r="E6" s="5" t="s">
        <v>145</v>
      </c>
      <c r="F6" s="5" t="s">
        <v>87</v>
      </c>
      <c r="G6" s="10">
        <v>700000</v>
      </c>
      <c r="H6" s="10">
        <v>707000</v>
      </c>
      <c r="I6" s="10">
        <v>700000</v>
      </c>
      <c r="J6" s="6" t="s">
        <v>76</v>
      </c>
      <c r="K6" s="10"/>
      <c r="L6" s="33">
        <f t="shared" si="0"/>
        <v>0</v>
      </c>
      <c r="M6" s="6" t="s">
        <v>41</v>
      </c>
      <c r="N6" s="6" t="s">
        <v>41</v>
      </c>
      <c r="S6" s="37" t="s">
        <v>480</v>
      </c>
      <c r="T6" s="7">
        <f>COUNTIF(M2:M25, "SIM")</f>
        <v>19</v>
      </c>
      <c r="U6" s="38">
        <f>COUNTIF(M2:M25, "SIM") / COUNTA(M2:M25)</f>
        <v>0.79166666666666663</v>
      </c>
    </row>
    <row r="7" spans="1:21">
      <c r="A7" s="6" t="s">
        <v>158</v>
      </c>
      <c r="B7" s="5" t="s">
        <v>58</v>
      </c>
      <c r="C7" s="5" t="s">
        <v>160</v>
      </c>
      <c r="D7" s="5" t="s">
        <v>161</v>
      </c>
      <c r="E7" s="5" t="s">
        <v>163</v>
      </c>
      <c r="F7" s="5" t="s">
        <v>87</v>
      </c>
      <c r="G7" s="10">
        <v>1300000</v>
      </c>
      <c r="H7" s="10">
        <v>1301400</v>
      </c>
      <c r="I7" s="10">
        <v>1300000</v>
      </c>
      <c r="J7" s="6" t="s">
        <v>76</v>
      </c>
      <c r="K7" s="10"/>
      <c r="L7" s="33">
        <f t="shared" si="0"/>
        <v>0</v>
      </c>
      <c r="M7" s="6" t="s">
        <v>76</v>
      </c>
      <c r="N7" s="6" t="s">
        <v>76</v>
      </c>
      <c r="S7" s="37" t="s">
        <v>482</v>
      </c>
      <c r="T7" s="7">
        <f>COUNTIF(M2:M25, "NÃO")</f>
        <v>5</v>
      </c>
      <c r="U7" s="38">
        <f>COUNTIF(M2:M25, "NÃO") / COUNTA(M2:M25)</f>
        <v>0.20833333333333334</v>
      </c>
    </row>
    <row r="8" spans="1:21">
      <c r="A8" s="6" t="s">
        <v>169</v>
      </c>
      <c r="B8" s="5" t="s">
        <v>170</v>
      </c>
      <c r="C8" s="5" t="s">
        <v>173</v>
      </c>
      <c r="D8" s="5" t="s">
        <v>174</v>
      </c>
      <c r="E8" s="5" t="s">
        <v>176</v>
      </c>
      <c r="F8" s="5" t="s">
        <v>87</v>
      </c>
      <c r="G8" s="10">
        <v>500000</v>
      </c>
      <c r="H8" s="10">
        <v>505000</v>
      </c>
      <c r="I8" s="10">
        <v>500000</v>
      </c>
      <c r="J8" s="6" t="s">
        <v>76</v>
      </c>
      <c r="K8" s="10"/>
      <c r="L8" s="33">
        <f t="shared" si="0"/>
        <v>0</v>
      </c>
      <c r="M8" s="6" t="s">
        <v>41</v>
      </c>
      <c r="N8" s="6" t="s">
        <v>41</v>
      </c>
      <c r="S8" s="37" t="s">
        <v>484</v>
      </c>
      <c r="T8" s="7">
        <f>COUNTIF(N2:N25, "SIM")</f>
        <v>19</v>
      </c>
      <c r="U8" s="38">
        <f>COUNTIF(N2:N25, "SIM") / COUNTA(N2:N25)</f>
        <v>0.79166666666666663</v>
      </c>
    </row>
    <row r="9" spans="1:21">
      <c r="A9" s="6" t="s">
        <v>187</v>
      </c>
      <c r="B9" s="5" t="s">
        <v>188</v>
      </c>
      <c r="C9" s="5" t="s">
        <v>190</v>
      </c>
      <c r="D9" s="5" t="s">
        <v>191</v>
      </c>
      <c r="E9" s="5" t="s">
        <v>192</v>
      </c>
      <c r="F9" s="5" t="s">
        <v>87</v>
      </c>
      <c r="G9" s="10">
        <v>500000</v>
      </c>
      <c r="H9" s="10">
        <v>500500.5</v>
      </c>
      <c r="I9" s="10">
        <v>500000</v>
      </c>
      <c r="J9" s="6" t="s">
        <v>76</v>
      </c>
      <c r="K9" s="10"/>
      <c r="L9" s="33">
        <f t="shared" si="0"/>
        <v>0</v>
      </c>
      <c r="M9" s="6" t="s">
        <v>41</v>
      </c>
      <c r="N9" s="6" t="s">
        <v>41</v>
      </c>
      <c r="S9" s="37" t="s">
        <v>487</v>
      </c>
      <c r="T9" s="7">
        <f>COUNTIF(N2:N24, "NÃO")</f>
        <v>5</v>
      </c>
      <c r="U9" s="38">
        <f>COUNTIF(N2:N25, "NÃO") / COUNTA(N2:N25)</f>
        <v>0.20833333333333334</v>
      </c>
    </row>
    <row r="10" spans="1:21">
      <c r="A10" s="6" t="s">
        <v>201</v>
      </c>
      <c r="B10" s="5" t="s">
        <v>141</v>
      </c>
      <c r="C10" s="5" t="s">
        <v>205</v>
      </c>
      <c r="D10" s="5" t="s">
        <v>206</v>
      </c>
      <c r="E10" s="5" t="s">
        <v>208</v>
      </c>
      <c r="F10" s="5" t="s">
        <v>87</v>
      </c>
      <c r="G10" s="10">
        <v>1259150</v>
      </c>
      <c r="H10" s="10">
        <v>1260750</v>
      </c>
      <c r="I10" s="10">
        <v>1450000</v>
      </c>
      <c r="J10" s="6" t="s">
        <v>76</v>
      </c>
      <c r="K10" s="10"/>
      <c r="L10" s="33">
        <f t="shared" si="0"/>
        <v>0</v>
      </c>
      <c r="M10" s="6" t="s">
        <v>41</v>
      </c>
      <c r="N10" s="6" t="s">
        <v>41</v>
      </c>
      <c r="S10" s="37" t="s">
        <v>485</v>
      </c>
      <c r="T10" s="39">
        <f>SUM(I2:I25)</f>
        <v>31514000</v>
      </c>
      <c r="U10" s="38">
        <f>100%</f>
        <v>1</v>
      </c>
    </row>
    <row r="11" spans="1:21">
      <c r="A11" s="6" t="s">
        <v>217</v>
      </c>
      <c r="B11" s="5" t="s">
        <v>218</v>
      </c>
      <c r="C11" s="5" t="s">
        <v>220</v>
      </c>
      <c r="D11" s="5" t="s">
        <v>221</v>
      </c>
      <c r="E11" s="5" t="s">
        <v>222</v>
      </c>
      <c r="F11" s="5" t="s">
        <v>87</v>
      </c>
      <c r="G11" s="10">
        <v>450000</v>
      </c>
      <c r="H11" s="10">
        <v>452000</v>
      </c>
      <c r="I11" s="10">
        <v>450000</v>
      </c>
      <c r="J11" s="6" t="s">
        <v>76</v>
      </c>
      <c r="K11" s="10"/>
      <c r="L11" s="33">
        <f t="shared" si="0"/>
        <v>0</v>
      </c>
      <c r="M11" s="6" t="s">
        <v>41</v>
      </c>
      <c r="N11" s="6" t="s">
        <v>41</v>
      </c>
      <c r="S11" s="37" t="s">
        <v>488</v>
      </c>
      <c r="T11" s="39">
        <f>SUM(K2:K25)</f>
        <v>4600000</v>
      </c>
      <c r="U11" s="38">
        <f>T11/T10</f>
        <v>0.14596687186647203</v>
      </c>
    </row>
    <row r="12" spans="1:21">
      <c r="A12" s="6" t="s">
        <v>231</v>
      </c>
      <c r="B12" s="5" t="s">
        <v>31</v>
      </c>
      <c r="C12" s="5" t="s">
        <v>233</v>
      </c>
      <c r="D12" s="5" t="s">
        <v>234</v>
      </c>
      <c r="E12" s="5" t="s">
        <v>235</v>
      </c>
      <c r="F12" s="5" t="s">
        <v>87</v>
      </c>
      <c r="G12" s="10">
        <v>400000</v>
      </c>
      <c r="H12" s="10">
        <v>401000</v>
      </c>
      <c r="I12" s="10">
        <v>400000</v>
      </c>
      <c r="J12" s="6" t="s">
        <v>76</v>
      </c>
      <c r="K12" s="10"/>
      <c r="L12" s="33">
        <f t="shared" si="0"/>
        <v>0</v>
      </c>
      <c r="M12" s="6" t="s">
        <v>41</v>
      </c>
      <c r="N12" s="6" t="s">
        <v>41</v>
      </c>
      <c r="S12" s="37" t="s">
        <v>489</v>
      </c>
      <c r="T12" s="39">
        <f>T10-T11</f>
        <v>26914000</v>
      </c>
      <c r="U12" s="38">
        <f>T12/T10</f>
        <v>0.85403312813352794</v>
      </c>
    </row>
    <row r="13" spans="1:21">
      <c r="A13" s="6" t="s">
        <v>248</v>
      </c>
      <c r="B13" s="5" t="s">
        <v>141</v>
      </c>
      <c r="C13" s="5" t="s">
        <v>250</v>
      </c>
      <c r="D13" s="5" t="s">
        <v>251</v>
      </c>
      <c r="E13" s="5" t="s">
        <v>253</v>
      </c>
      <c r="F13" s="5" t="s">
        <v>87</v>
      </c>
      <c r="G13" s="10">
        <v>800000</v>
      </c>
      <c r="H13" s="10">
        <v>808000</v>
      </c>
      <c r="I13" s="10">
        <v>800000</v>
      </c>
      <c r="J13" s="6" t="s">
        <v>76</v>
      </c>
      <c r="K13" s="10"/>
      <c r="L13" s="33">
        <f t="shared" si="0"/>
        <v>0</v>
      </c>
      <c r="M13" s="6" t="s">
        <v>76</v>
      </c>
      <c r="N13" s="6" t="s">
        <v>76</v>
      </c>
    </row>
    <row r="14" spans="1:21">
      <c r="A14" s="6" t="s">
        <v>226</v>
      </c>
      <c r="B14" s="5" t="s">
        <v>58</v>
      </c>
      <c r="C14" s="5" t="s">
        <v>225</v>
      </c>
      <c r="D14" s="5" t="s">
        <v>261</v>
      </c>
      <c r="E14" s="5" t="s">
        <v>262</v>
      </c>
      <c r="F14" s="5" t="s">
        <v>87</v>
      </c>
      <c r="G14" s="10">
        <v>450000</v>
      </c>
      <c r="H14" s="10">
        <v>451000</v>
      </c>
      <c r="I14" s="10">
        <v>450000</v>
      </c>
      <c r="J14" s="6" t="s">
        <v>76</v>
      </c>
      <c r="K14" s="10"/>
      <c r="L14" s="33">
        <f t="shared" si="0"/>
        <v>0</v>
      </c>
      <c r="M14" s="6" t="s">
        <v>41</v>
      </c>
      <c r="N14" s="6" t="s">
        <v>41</v>
      </c>
    </row>
    <row r="15" spans="1:21">
      <c r="A15" s="6" t="s">
        <v>271</v>
      </c>
      <c r="B15" s="5" t="s">
        <v>204</v>
      </c>
      <c r="C15" s="5" t="s">
        <v>493</v>
      </c>
      <c r="D15" s="5" t="s">
        <v>277</v>
      </c>
      <c r="E15" s="5" t="s">
        <v>278</v>
      </c>
      <c r="F15" s="5" t="s">
        <v>87</v>
      </c>
      <c r="G15" s="10">
        <v>1500000</v>
      </c>
      <c r="H15" s="10">
        <v>1612903.23</v>
      </c>
      <c r="I15" s="10">
        <v>1500000</v>
      </c>
      <c r="J15" s="6" t="s">
        <v>76</v>
      </c>
      <c r="K15" s="10"/>
      <c r="L15" s="33">
        <f t="shared" si="0"/>
        <v>0</v>
      </c>
      <c r="M15" s="6" t="s">
        <v>41</v>
      </c>
      <c r="N15" s="6" t="s">
        <v>41</v>
      </c>
      <c r="S15" s="51" t="s">
        <v>494</v>
      </c>
      <c r="T15" s="47"/>
      <c r="U15" s="48"/>
    </row>
    <row r="16" spans="1:21">
      <c r="A16" s="6" t="s">
        <v>271</v>
      </c>
      <c r="B16" s="5" t="s">
        <v>204</v>
      </c>
      <c r="C16" s="5" t="s">
        <v>496</v>
      </c>
      <c r="D16" s="5" t="s">
        <v>290</v>
      </c>
      <c r="E16" s="5" t="s">
        <v>291</v>
      </c>
      <c r="F16" s="5" t="s">
        <v>87</v>
      </c>
      <c r="G16" s="10">
        <v>450000</v>
      </c>
      <c r="H16" s="10">
        <v>451681.86</v>
      </c>
      <c r="I16" s="10">
        <v>450000</v>
      </c>
      <c r="J16" s="6" t="s">
        <v>76</v>
      </c>
      <c r="K16" s="10"/>
      <c r="L16" s="33">
        <f t="shared" si="0"/>
        <v>0</v>
      </c>
      <c r="M16" s="6" t="s">
        <v>41</v>
      </c>
      <c r="N16" s="6" t="s">
        <v>41</v>
      </c>
      <c r="S16" s="37"/>
      <c r="T16" s="36" t="s">
        <v>473</v>
      </c>
      <c r="U16" s="36" t="s">
        <v>474</v>
      </c>
    </row>
    <row r="17" spans="1:21">
      <c r="A17" s="6" t="s">
        <v>272</v>
      </c>
      <c r="B17" s="5" t="s">
        <v>80</v>
      </c>
      <c r="C17" s="5" t="s">
        <v>273</v>
      </c>
      <c r="D17" s="5" t="s">
        <v>299</v>
      </c>
      <c r="E17" s="5" t="s">
        <v>300</v>
      </c>
      <c r="F17" s="5" t="s">
        <v>87</v>
      </c>
      <c r="G17" s="10">
        <v>370000</v>
      </c>
      <c r="H17" s="10">
        <v>379820</v>
      </c>
      <c r="I17" s="10">
        <v>370000</v>
      </c>
      <c r="J17" s="6" t="s">
        <v>76</v>
      </c>
      <c r="K17" s="10"/>
      <c r="L17" s="33">
        <f t="shared" si="0"/>
        <v>0</v>
      </c>
      <c r="M17" s="6" t="s">
        <v>41</v>
      </c>
      <c r="N17" s="6" t="s">
        <v>41</v>
      </c>
      <c r="S17" s="37" t="s">
        <v>497</v>
      </c>
      <c r="T17" s="7">
        <f>COUNTA(A29:A35)</f>
        <v>7</v>
      </c>
      <c r="U17" s="38">
        <f>100%</f>
        <v>1</v>
      </c>
    </row>
    <row r="18" spans="1:21">
      <c r="A18" s="6" t="s">
        <v>245</v>
      </c>
      <c r="B18" s="5" t="s">
        <v>170</v>
      </c>
      <c r="C18" s="5" t="s">
        <v>243</v>
      </c>
      <c r="D18" s="5" t="s">
        <v>305</v>
      </c>
      <c r="E18" s="5" t="s">
        <v>306</v>
      </c>
      <c r="F18" s="5" t="s">
        <v>87</v>
      </c>
      <c r="G18" s="10">
        <v>500000</v>
      </c>
      <c r="H18" s="10">
        <v>505000</v>
      </c>
      <c r="I18" s="10">
        <v>500000</v>
      </c>
      <c r="J18" s="6" t="s">
        <v>76</v>
      </c>
      <c r="K18" s="10"/>
      <c r="L18" s="33">
        <f t="shared" si="0"/>
        <v>0</v>
      </c>
      <c r="M18" s="6" t="s">
        <v>41</v>
      </c>
      <c r="N18" s="6" t="s">
        <v>41</v>
      </c>
      <c r="S18" s="37" t="s">
        <v>498</v>
      </c>
      <c r="T18" s="7">
        <f>COUNTIF(M29:M35, "SIM")</f>
        <v>7</v>
      </c>
      <c r="U18" s="38">
        <f>COUNTIF(M29:M35, "SIM") / COUNTA(M29:M35)</f>
        <v>1</v>
      </c>
    </row>
    <row r="19" spans="1:21">
      <c r="A19" s="6" t="s">
        <v>67</v>
      </c>
      <c r="B19" s="5" t="s">
        <v>68</v>
      </c>
      <c r="C19" s="5" t="s">
        <v>311</v>
      </c>
      <c r="D19" s="5" t="s">
        <v>312</v>
      </c>
      <c r="E19" s="5" t="s">
        <v>314</v>
      </c>
      <c r="F19" s="5" t="s">
        <v>87</v>
      </c>
      <c r="G19" s="10">
        <v>2600000</v>
      </c>
      <c r="H19" s="10">
        <v>2630400</v>
      </c>
      <c r="I19" s="10">
        <v>2600000</v>
      </c>
      <c r="J19" s="6" t="s">
        <v>41</v>
      </c>
      <c r="K19" s="10">
        <v>2600000</v>
      </c>
      <c r="L19" s="33">
        <f t="shared" si="0"/>
        <v>1</v>
      </c>
      <c r="M19" s="6" t="s">
        <v>41</v>
      </c>
      <c r="N19" s="6" t="s">
        <v>41</v>
      </c>
      <c r="S19" s="37" t="s">
        <v>499</v>
      </c>
      <c r="T19" s="7">
        <f>COUNTIF(M29:M35, "NÃO")</f>
        <v>0</v>
      </c>
      <c r="U19" s="38">
        <f>COUNTIF(M29:M35, "NÃO") / COUNTA(M29:M35)</f>
        <v>0</v>
      </c>
    </row>
    <row r="20" spans="1:21">
      <c r="A20" s="6" t="s">
        <v>195</v>
      </c>
      <c r="B20" s="5" t="s">
        <v>218</v>
      </c>
      <c r="C20" s="5" t="s">
        <v>198</v>
      </c>
      <c r="D20" s="5" t="s">
        <v>321</v>
      </c>
      <c r="E20" s="5" t="s">
        <v>322</v>
      </c>
      <c r="F20" s="5" t="s">
        <v>87</v>
      </c>
      <c r="G20" s="10">
        <v>450000</v>
      </c>
      <c r="H20" s="10">
        <v>450500</v>
      </c>
      <c r="I20" s="10">
        <v>450000</v>
      </c>
      <c r="J20" s="6" t="s">
        <v>76</v>
      </c>
      <c r="K20" s="10"/>
      <c r="L20" s="33">
        <f t="shared" si="0"/>
        <v>0</v>
      </c>
      <c r="M20" s="6" t="s">
        <v>41</v>
      </c>
      <c r="N20" s="6" t="s">
        <v>41</v>
      </c>
      <c r="S20" s="37" t="s">
        <v>484</v>
      </c>
      <c r="T20" s="7">
        <f>COUNTIF(N29:N35, "SIM")</f>
        <v>7</v>
      </c>
      <c r="U20" s="38">
        <f>COUNTIF(N29:N35, "SIM") / COUNTA(N29:N35)</f>
        <v>1</v>
      </c>
    </row>
    <row r="21" spans="1:21">
      <c r="A21" s="6" t="s">
        <v>254</v>
      </c>
      <c r="B21" s="5" t="s">
        <v>170</v>
      </c>
      <c r="C21" s="5" t="s">
        <v>252</v>
      </c>
      <c r="D21" s="5" t="s">
        <v>333</v>
      </c>
      <c r="E21" s="5" t="s">
        <v>334</v>
      </c>
      <c r="F21" s="5" t="s">
        <v>87</v>
      </c>
      <c r="G21" s="10">
        <v>500000</v>
      </c>
      <c r="H21" s="10">
        <v>505000</v>
      </c>
      <c r="I21" s="10">
        <v>500000</v>
      </c>
      <c r="J21" s="6" t="s">
        <v>76</v>
      </c>
      <c r="K21" s="10"/>
      <c r="L21" s="33">
        <f t="shared" si="0"/>
        <v>0</v>
      </c>
      <c r="M21" s="6" t="s">
        <v>41</v>
      </c>
      <c r="N21" s="6" t="s">
        <v>41</v>
      </c>
      <c r="S21" s="37" t="s">
        <v>487</v>
      </c>
      <c r="T21" s="7">
        <f>COUNTIF(N29:N35, "NÃO")</f>
        <v>0</v>
      </c>
      <c r="U21" s="38">
        <f>COUNTIF(N29:N35, "NÃO") / COUNTA(N29:N35)</f>
        <v>0</v>
      </c>
    </row>
    <row r="22" spans="1:21">
      <c r="A22" s="6" t="s">
        <v>237</v>
      </c>
      <c r="B22" s="5" t="s">
        <v>170</v>
      </c>
      <c r="C22" s="5" t="s">
        <v>239</v>
      </c>
      <c r="D22" s="5" t="s">
        <v>345</v>
      </c>
      <c r="E22" s="5" t="s">
        <v>346</v>
      </c>
      <c r="F22" s="5" t="s">
        <v>87</v>
      </c>
      <c r="G22" s="10">
        <v>10000000</v>
      </c>
      <c r="H22" s="10">
        <v>10030000</v>
      </c>
      <c r="I22" s="10">
        <v>10000000</v>
      </c>
      <c r="J22" s="6" t="s">
        <v>76</v>
      </c>
      <c r="K22" s="10"/>
      <c r="L22" s="33">
        <f t="shared" si="0"/>
        <v>0</v>
      </c>
      <c r="M22" s="6" t="s">
        <v>41</v>
      </c>
      <c r="N22" s="6" t="s">
        <v>41</v>
      </c>
      <c r="S22" s="37" t="s">
        <v>485</v>
      </c>
      <c r="T22" s="39">
        <f>SUM(I29:I35)</f>
        <v>11130000</v>
      </c>
      <c r="U22" s="38">
        <f>100%</f>
        <v>1</v>
      </c>
    </row>
    <row r="23" spans="1:21">
      <c r="A23" s="6" t="s">
        <v>462</v>
      </c>
      <c r="B23" s="5" t="s">
        <v>68</v>
      </c>
      <c r="C23" s="5" t="s">
        <v>269</v>
      </c>
      <c r="D23" s="5" t="s">
        <v>358</v>
      </c>
      <c r="E23" s="5" t="s">
        <v>359</v>
      </c>
      <c r="F23" s="5" t="s">
        <v>87</v>
      </c>
      <c r="G23" s="10">
        <v>1500000</v>
      </c>
      <c r="H23" s="10">
        <v>1502000</v>
      </c>
      <c r="I23" s="10">
        <v>1500000</v>
      </c>
      <c r="J23" s="6" t="s">
        <v>41</v>
      </c>
      <c r="K23" s="10">
        <v>1500000</v>
      </c>
      <c r="L23" s="33">
        <f t="shared" si="0"/>
        <v>1</v>
      </c>
      <c r="M23" s="6" t="s">
        <v>41</v>
      </c>
      <c r="N23" s="6" t="s">
        <v>41</v>
      </c>
      <c r="S23" s="37" t="s">
        <v>488</v>
      </c>
      <c r="T23" s="39">
        <f>SUM(K29:K35)</f>
        <v>10680000</v>
      </c>
      <c r="U23" s="38">
        <f>T23/T22</f>
        <v>0.95956873315363878</v>
      </c>
    </row>
    <row r="24" spans="1:21">
      <c r="A24" s="20" t="s">
        <v>264</v>
      </c>
      <c r="B24" s="5" t="s">
        <v>364</v>
      </c>
      <c r="C24" s="5" t="s">
        <v>265</v>
      </c>
      <c r="D24" s="5" t="s">
        <v>366</v>
      </c>
      <c r="E24" s="5" t="s">
        <v>367</v>
      </c>
      <c r="F24" s="5" t="s">
        <v>87</v>
      </c>
      <c r="G24" s="10">
        <v>1700000</v>
      </c>
      <c r="H24" s="10">
        <v>1734000</v>
      </c>
      <c r="I24" s="10">
        <v>1700000</v>
      </c>
      <c r="J24" s="6" t="s">
        <v>76</v>
      </c>
      <c r="K24" s="10"/>
      <c r="L24" s="33">
        <f t="shared" si="0"/>
        <v>0</v>
      </c>
      <c r="M24" s="6" t="s">
        <v>76</v>
      </c>
      <c r="N24" s="6" t="s">
        <v>76</v>
      </c>
      <c r="S24" s="37" t="s">
        <v>489</v>
      </c>
      <c r="T24" s="39">
        <f>T22-T23</f>
        <v>450000</v>
      </c>
      <c r="U24" s="38">
        <f>T24/T22</f>
        <v>4.0431266846361183E-2</v>
      </c>
    </row>
    <row r="25" spans="1:21">
      <c r="A25" s="6" t="s">
        <v>372</v>
      </c>
      <c r="B25" s="5" t="s">
        <v>31</v>
      </c>
      <c r="C25" s="5" t="s">
        <v>373</v>
      </c>
      <c r="D25" s="5" t="s">
        <v>374</v>
      </c>
      <c r="E25" s="5" t="s">
        <v>375</v>
      </c>
      <c r="F25" s="5" t="s">
        <v>37</v>
      </c>
      <c r="G25" s="10">
        <v>500000</v>
      </c>
      <c r="H25" s="10">
        <v>500000</v>
      </c>
      <c r="I25" s="10">
        <v>500000</v>
      </c>
      <c r="J25" s="6" t="s">
        <v>41</v>
      </c>
      <c r="K25" s="10">
        <v>500000</v>
      </c>
      <c r="L25" s="33">
        <f t="shared" si="0"/>
        <v>1</v>
      </c>
      <c r="M25" s="6" t="s">
        <v>41</v>
      </c>
      <c r="N25" s="6" t="s">
        <v>41</v>
      </c>
    </row>
    <row r="27" spans="1:21">
      <c r="S27" s="52" t="s">
        <v>500</v>
      </c>
      <c r="T27" s="47"/>
      <c r="U27" s="48"/>
    </row>
    <row r="28" spans="1:21">
      <c r="A28" s="2" t="s">
        <v>6</v>
      </c>
      <c r="B28" s="2" t="s">
        <v>7</v>
      </c>
      <c r="C28" s="2" t="s">
        <v>9</v>
      </c>
      <c r="D28" s="2" t="s">
        <v>10</v>
      </c>
      <c r="E28" s="2" t="s">
        <v>11</v>
      </c>
      <c r="F28" s="2" t="s">
        <v>14</v>
      </c>
      <c r="G28" s="2" t="s">
        <v>19</v>
      </c>
      <c r="H28" s="2" t="s">
        <v>20</v>
      </c>
      <c r="I28" s="2" t="s">
        <v>21</v>
      </c>
      <c r="J28" s="2" t="s">
        <v>22</v>
      </c>
      <c r="K28" s="2" t="s">
        <v>23</v>
      </c>
      <c r="L28" s="2" t="s">
        <v>466</v>
      </c>
      <c r="M28" s="2" t="s">
        <v>39</v>
      </c>
      <c r="N28" s="2" t="s">
        <v>25</v>
      </c>
      <c r="S28" s="37"/>
      <c r="T28" s="36" t="s">
        <v>473</v>
      </c>
      <c r="U28" s="36" t="s">
        <v>474</v>
      </c>
    </row>
    <row r="29" spans="1:21">
      <c r="A29" s="6" t="s">
        <v>91</v>
      </c>
      <c r="B29" s="5" t="s">
        <v>92</v>
      </c>
      <c r="C29" s="5" t="s">
        <v>97</v>
      </c>
      <c r="D29" s="5" t="s">
        <v>98</v>
      </c>
      <c r="E29" s="5" t="s">
        <v>101</v>
      </c>
      <c r="F29" s="5" t="s">
        <v>87</v>
      </c>
      <c r="G29" s="12">
        <v>5000000</v>
      </c>
      <c r="H29" s="12">
        <v>5000000</v>
      </c>
      <c r="I29" s="12">
        <v>5000000</v>
      </c>
      <c r="J29" s="6" t="s">
        <v>41</v>
      </c>
      <c r="K29" s="12">
        <v>5000000</v>
      </c>
      <c r="L29" s="33">
        <f t="shared" ref="L29:L35" si="1">IFERROR(I29/K29,"")</f>
        <v>1</v>
      </c>
      <c r="M29" s="6" t="s">
        <v>41</v>
      </c>
      <c r="N29" s="6" t="s">
        <v>41</v>
      </c>
      <c r="S29" s="37" t="s">
        <v>501</v>
      </c>
      <c r="T29" s="7">
        <f>COUNTA(A39:A42)</f>
        <v>4</v>
      </c>
      <c r="U29" s="38">
        <f>100%</f>
        <v>1</v>
      </c>
    </row>
    <row r="30" spans="1:21">
      <c r="A30" s="6" t="s">
        <v>121</v>
      </c>
      <c r="B30" s="5" t="s">
        <v>123</v>
      </c>
      <c r="C30" s="5" t="s">
        <v>126</v>
      </c>
      <c r="D30" s="5" t="s">
        <v>129</v>
      </c>
      <c r="E30" s="5" t="s">
        <v>132</v>
      </c>
      <c r="F30" s="5" t="s">
        <v>87</v>
      </c>
      <c r="G30" s="12">
        <v>330000</v>
      </c>
      <c r="H30" s="12">
        <v>330000</v>
      </c>
      <c r="I30" s="12">
        <v>330000</v>
      </c>
      <c r="J30" s="6" t="s">
        <v>41</v>
      </c>
      <c r="K30" s="12">
        <v>330000</v>
      </c>
      <c r="L30" s="33">
        <f t="shared" si="1"/>
        <v>1</v>
      </c>
      <c r="M30" s="6" t="s">
        <v>41</v>
      </c>
      <c r="N30" s="6" t="s">
        <v>41</v>
      </c>
      <c r="S30" s="37" t="s">
        <v>502</v>
      </c>
      <c r="T30" s="7">
        <f>COUNTIF(K39:K42, "Em execução")</f>
        <v>4</v>
      </c>
      <c r="U30" s="38">
        <f>COUNTIF(K39:K42, "Em execução") / COUNTA(K39:K42)</f>
        <v>1</v>
      </c>
    </row>
    <row r="31" spans="1:21">
      <c r="A31" s="6" t="s">
        <v>149</v>
      </c>
      <c r="B31" s="5" t="s">
        <v>141</v>
      </c>
      <c r="C31" s="5" t="s">
        <v>151</v>
      </c>
      <c r="D31" s="5" t="s">
        <v>154</v>
      </c>
      <c r="E31" s="5" t="s">
        <v>156</v>
      </c>
      <c r="F31" s="5" t="s">
        <v>87</v>
      </c>
      <c r="G31" s="12">
        <v>4000000</v>
      </c>
      <c r="H31" s="12">
        <v>4000000</v>
      </c>
      <c r="I31" s="12">
        <v>4000000</v>
      </c>
      <c r="J31" s="6" t="s">
        <v>41</v>
      </c>
      <c r="K31" s="12">
        <v>4000000</v>
      </c>
      <c r="L31" s="33">
        <f t="shared" si="1"/>
        <v>1</v>
      </c>
      <c r="M31" s="6" t="s">
        <v>41</v>
      </c>
      <c r="N31" s="6" t="s">
        <v>41</v>
      </c>
      <c r="S31" s="37" t="s">
        <v>503</v>
      </c>
      <c r="T31" s="7">
        <f>COUNTIF(K39:K42, "Paralisados")</f>
        <v>0</v>
      </c>
      <c r="U31" s="38">
        <f>COUNTIF(K39:K42, "Paralisado") / COUNTA(K39:K42)</f>
        <v>0</v>
      </c>
    </row>
    <row r="32" spans="1:21">
      <c r="A32" s="6" t="s">
        <v>179</v>
      </c>
      <c r="B32" s="5" t="s">
        <v>123</v>
      </c>
      <c r="C32" s="5" t="s">
        <v>181</v>
      </c>
      <c r="D32" s="5" t="s">
        <v>463</v>
      </c>
      <c r="E32" s="5" t="s">
        <v>183</v>
      </c>
      <c r="F32" s="5" t="s">
        <v>87</v>
      </c>
      <c r="G32" s="12">
        <v>500000</v>
      </c>
      <c r="H32" s="12">
        <v>500000</v>
      </c>
      <c r="I32" s="12">
        <v>500000</v>
      </c>
      <c r="J32" s="6" t="s">
        <v>41</v>
      </c>
      <c r="K32" s="12">
        <v>500000</v>
      </c>
      <c r="L32" s="33">
        <f t="shared" si="1"/>
        <v>1</v>
      </c>
      <c r="M32" s="6" t="s">
        <v>41</v>
      </c>
      <c r="N32" s="6" t="s">
        <v>41</v>
      </c>
      <c r="S32" s="37" t="s">
        <v>504</v>
      </c>
      <c r="T32" s="39">
        <f>SUM(G39:G42)</f>
        <v>26502240</v>
      </c>
      <c r="U32" s="38">
        <f>100%</f>
        <v>1</v>
      </c>
    </row>
    <row r="33" spans="1:27">
      <c r="A33" s="6" t="s">
        <v>202</v>
      </c>
      <c r="B33" s="5" t="s">
        <v>204</v>
      </c>
      <c r="C33" s="5" t="s">
        <v>210</v>
      </c>
      <c r="D33" s="5" t="s">
        <v>211</v>
      </c>
      <c r="E33" s="5" t="s">
        <v>213</v>
      </c>
      <c r="F33" s="5" t="s">
        <v>87</v>
      </c>
      <c r="G33" s="12">
        <v>450000</v>
      </c>
      <c r="H33" s="12">
        <v>450000</v>
      </c>
      <c r="I33" s="12">
        <v>450000</v>
      </c>
      <c r="J33" s="6" t="s">
        <v>76</v>
      </c>
      <c r="K33" s="12"/>
      <c r="L33" s="33" t="str">
        <f t="shared" si="1"/>
        <v/>
      </c>
      <c r="M33" s="6" t="s">
        <v>41</v>
      </c>
      <c r="N33" s="6" t="s">
        <v>41</v>
      </c>
      <c r="S33" s="37" t="s">
        <v>488</v>
      </c>
      <c r="T33" s="39">
        <f>SUM(I39:I42)</f>
        <v>26000000</v>
      </c>
      <c r="U33" s="38">
        <f>T33/T32</f>
        <v>0.98104914905306118</v>
      </c>
    </row>
    <row r="34" spans="1:27">
      <c r="A34" s="6" t="s">
        <v>238</v>
      </c>
      <c r="B34" s="5" t="s">
        <v>141</v>
      </c>
      <c r="C34" s="5" t="s">
        <v>241</v>
      </c>
      <c r="D34" s="5" t="s">
        <v>242</v>
      </c>
      <c r="E34" s="5" t="s">
        <v>244</v>
      </c>
      <c r="F34" s="5" t="s">
        <v>87</v>
      </c>
      <c r="G34" s="12">
        <v>450000</v>
      </c>
      <c r="H34" s="12">
        <v>450000</v>
      </c>
      <c r="I34" s="12">
        <v>450000</v>
      </c>
      <c r="J34" s="6" t="s">
        <v>41</v>
      </c>
      <c r="K34" s="12">
        <v>450000</v>
      </c>
      <c r="L34" s="33">
        <f t="shared" si="1"/>
        <v>1</v>
      </c>
      <c r="M34" s="6" t="s">
        <v>41</v>
      </c>
      <c r="N34" s="6" t="s">
        <v>41</v>
      </c>
      <c r="S34" s="37" t="s">
        <v>489</v>
      </c>
      <c r="T34" s="39">
        <f>T32-T33</f>
        <v>502240</v>
      </c>
      <c r="U34" s="38">
        <f>T34/T32</f>
        <v>1.8950850946938824E-2</v>
      </c>
      <c r="V34" s="53" t="s">
        <v>505</v>
      </c>
      <c r="W34" s="47"/>
      <c r="X34" s="47"/>
      <c r="Y34" s="47"/>
      <c r="Z34" s="47"/>
      <c r="AA34" s="48"/>
    </row>
    <row r="35" spans="1:27">
      <c r="A35" s="6" t="s">
        <v>282</v>
      </c>
      <c r="B35" s="5" t="s">
        <v>141</v>
      </c>
      <c r="C35" s="5" t="s">
        <v>283</v>
      </c>
      <c r="D35" s="5" t="s">
        <v>286</v>
      </c>
      <c r="E35" s="5" t="s">
        <v>287</v>
      </c>
      <c r="F35" s="5" t="s">
        <v>87</v>
      </c>
      <c r="G35" s="12">
        <v>400000</v>
      </c>
      <c r="H35" s="12">
        <v>400000</v>
      </c>
      <c r="I35" s="12">
        <v>400000</v>
      </c>
      <c r="J35" s="6" t="s">
        <v>41</v>
      </c>
      <c r="K35" s="12">
        <v>400000</v>
      </c>
      <c r="L35" s="33">
        <f t="shared" si="1"/>
        <v>1</v>
      </c>
      <c r="M35" s="6" t="s">
        <v>41</v>
      </c>
      <c r="N35" s="6" t="s">
        <v>41</v>
      </c>
    </row>
    <row r="38" spans="1:27">
      <c r="A38" s="2" t="s">
        <v>6</v>
      </c>
      <c r="B38" s="2" t="s">
        <v>7</v>
      </c>
      <c r="C38" s="2" t="s">
        <v>9</v>
      </c>
      <c r="D38" s="2" t="s">
        <v>11</v>
      </c>
      <c r="E38" s="2" t="s">
        <v>14</v>
      </c>
      <c r="F38" s="2" t="s">
        <v>444</v>
      </c>
      <c r="G38" s="2" t="s">
        <v>20</v>
      </c>
      <c r="H38" s="2" t="s">
        <v>22</v>
      </c>
      <c r="I38" s="2" t="s">
        <v>23</v>
      </c>
      <c r="J38" s="2" t="s">
        <v>466</v>
      </c>
      <c r="K38" s="2" t="s">
        <v>445</v>
      </c>
    </row>
    <row r="39" spans="1:27">
      <c r="A39" s="6" t="s">
        <v>506</v>
      </c>
      <c r="B39" s="5" t="s">
        <v>170</v>
      </c>
      <c r="C39" s="5" t="s">
        <v>448</v>
      </c>
      <c r="D39" s="6" t="s">
        <v>449</v>
      </c>
      <c r="E39" s="5" t="s">
        <v>87</v>
      </c>
      <c r="F39" s="12">
        <v>5000000</v>
      </c>
      <c r="G39" s="12">
        <v>5000000</v>
      </c>
      <c r="H39" s="6" t="s">
        <v>41</v>
      </c>
      <c r="I39" s="12">
        <v>5000000</v>
      </c>
      <c r="J39" s="33">
        <f t="shared" ref="J39:J42" si="2">IFERROR(I39/G39,"")</f>
        <v>1</v>
      </c>
      <c r="K39" s="5" t="s">
        <v>450</v>
      </c>
    </row>
    <row r="40" spans="1:27">
      <c r="A40" s="6" t="s">
        <v>507</v>
      </c>
      <c r="B40" s="5" t="s">
        <v>170</v>
      </c>
      <c r="C40" s="5" t="s">
        <v>452</v>
      </c>
      <c r="D40" s="6" t="s">
        <v>453</v>
      </c>
      <c r="E40" s="5" t="s">
        <v>87</v>
      </c>
      <c r="F40" s="12">
        <v>5000000</v>
      </c>
      <c r="G40" s="12">
        <v>5000000</v>
      </c>
      <c r="H40" s="6" t="s">
        <v>41</v>
      </c>
      <c r="I40" s="12">
        <v>5000000</v>
      </c>
      <c r="J40" s="33">
        <f t="shared" si="2"/>
        <v>1</v>
      </c>
      <c r="K40" s="5" t="s">
        <v>450</v>
      </c>
    </row>
    <row r="41" spans="1:27">
      <c r="A41" s="6" t="s">
        <v>508</v>
      </c>
      <c r="B41" s="5" t="s">
        <v>170</v>
      </c>
      <c r="C41" s="5" t="s">
        <v>455</v>
      </c>
      <c r="D41" s="6" t="s">
        <v>456</v>
      </c>
      <c r="E41" s="5" t="s">
        <v>87</v>
      </c>
      <c r="F41" s="12">
        <v>4002240</v>
      </c>
      <c r="G41" s="12">
        <v>4002240</v>
      </c>
      <c r="H41" s="6" t="s">
        <v>41</v>
      </c>
      <c r="I41" s="12">
        <v>3500000</v>
      </c>
      <c r="J41" s="33">
        <f t="shared" si="2"/>
        <v>0.87451027424642203</v>
      </c>
      <c r="K41" s="5" t="s">
        <v>450</v>
      </c>
    </row>
    <row r="42" spans="1:27">
      <c r="A42" s="6" t="s">
        <v>509</v>
      </c>
      <c r="B42" s="5" t="s">
        <v>123</v>
      </c>
      <c r="C42" s="5" t="s">
        <v>459</v>
      </c>
      <c r="D42" s="6" t="s">
        <v>460</v>
      </c>
      <c r="E42" s="5" t="s">
        <v>87</v>
      </c>
      <c r="F42" s="12">
        <v>12500000</v>
      </c>
      <c r="G42" s="12">
        <v>12500000</v>
      </c>
      <c r="H42" s="6" t="s">
        <v>41</v>
      </c>
      <c r="I42" s="12">
        <v>12500000</v>
      </c>
      <c r="J42" s="33">
        <f t="shared" si="2"/>
        <v>1</v>
      </c>
      <c r="K42" s="5" t="s">
        <v>450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4" priority="1" operator="containsText" text="SIM">
      <formula>NOT(ISERROR(SEARCH(("SIM"),(J2))))</formula>
    </cfRule>
    <cfRule type="containsText" dxfId="3" priority="2" operator="containsText" text="NÃO">
      <formula>NOT(ISERROR(SEARCH(("NÃO"),(J2))))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4"/>
  <sheetViews>
    <sheetView workbookViewId="0"/>
  </sheetViews>
  <sheetFormatPr defaultColWidth="11.25" defaultRowHeight="15.75" customHeight="1"/>
  <cols>
    <col min="1" max="1" width="41.375" customWidth="1"/>
    <col min="3" max="3" width="17.125" customWidth="1"/>
    <col min="5" max="5" width="18.875" customWidth="1"/>
    <col min="7" max="8" width="15.75" customWidth="1"/>
    <col min="9" max="9" width="16.125" customWidth="1"/>
    <col min="10" max="10" width="11.75" customWidth="1"/>
    <col min="12" max="13" width="12.625" customWidth="1"/>
    <col min="18" max="18" width="36.5" customWidth="1"/>
    <col min="19" max="19" width="14.375" customWidth="1"/>
    <col min="20" max="20" width="12.625" customWidth="1"/>
  </cols>
  <sheetData>
    <row r="1" spans="1:20">
      <c r="A1" s="2" t="s">
        <v>6</v>
      </c>
      <c r="B1" s="2" t="s">
        <v>7</v>
      </c>
      <c r="C1" s="2" t="s">
        <v>9</v>
      </c>
      <c r="D1" s="2" t="s">
        <v>10</v>
      </c>
      <c r="E1" s="2" t="s">
        <v>11</v>
      </c>
      <c r="F1" s="2" t="s">
        <v>14</v>
      </c>
      <c r="G1" s="2" t="s">
        <v>19</v>
      </c>
      <c r="H1" s="2" t="s">
        <v>464</v>
      </c>
      <c r="I1" s="2" t="s">
        <v>465</v>
      </c>
      <c r="J1" s="2" t="s">
        <v>22</v>
      </c>
      <c r="K1" s="2" t="s">
        <v>23</v>
      </c>
      <c r="L1" s="2" t="s">
        <v>467</v>
      </c>
      <c r="M1" s="2" t="s">
        <v>24</v>
      </c>
      <c r="N1" s="2" t="s">
        <v>25</v>
      </c>
    </row>
    <row r="2" spans="1:20">
      <c r="A2" s="6" t="s">
        <v>378</v>
      </c>
      <c r="B2" s="5" t="s">
        <v>204</v>
      </c>
      <c r="C2" s="5" t="s">
        <v>380</v>
      </c>
      <c r="D2" s="5" t="s">
        <v>381</v>
      </c>
      <c r="E2" s="5" t="s">
        <v>382</v>
      </c>
      <c r="F2" s="5" t="s">
        <v>74</v>
      </c>
      <c r="G2" s="10">
        <v>500000</v>
      </c>
      <c r="H2" s="10">
        <v>505000</v>
      </c>
      <c r="I2" s="10">
        <v>500000</v>
      </c>
      <c r="J2" s="6" t="s">
        <v>76</v>
      </c>
      <c r="K2" s="35"/>
      <c r="L2" s="5" t="s">
        <v>468</v>
      </c>
      <c r="M2" s="5" t="s">
        <v>469</v>
      </c>
      <c r="N2" s="5" t="s">
        <v>470</v>
      </c>
      <c r="R2" s="50" t="s">
        <v>472</v>
      </c>
      <c r="S2" s="47"/>
      <c r="T2" s="48"/>
    </row>
    <row r="3" spans="1:20">
      <c r="A3" s="6" t="s">
        <v>388</v>
      </c>
      <c r="B3" s="5" t="s">
        <v>204</v>
      </c>
      <c r="C3" s="5" t="s">
        <v>390</v>
      </c>
      <c r="D3" s="5" t="s">
        <v>391</v>
      </c>
      <c r="E3" s="5" t="s">
        <v>392</v>
      </c>
      <c r="F3" s="5" t="s">
        <v>74</v>
      </c>
      <c r="G3" s="10">
        <v>500000</v>
      </c>
      <c r="H3" s="10">
        <v>505000</v>
      </c>
      <c r="I3" s="10">
        <v>500000</v>
      </c>
      <c r="J3" s="6" t="s">
        <v>76</v>
      </c>
      <c r="K3" s="35"/>
      <c r="L3" s="5" t="s">
        <v>468</v>
      </c>
      <c r="M3" s="5" t="s">
        <v>469</v>
      </c>
      <c r="N3" s="5" t="s">
        <v>470</v>
      </c>
      <c r="R3" s="7"/>
      <c r="S3" s="36" t="s">
        <v>473</v>
      </c>
      <c r="T3" s="36" t="s">
        <v>474</v>
      </c>
    </row>
    <row r="4" spans="1:20">
      <c r="A4" s="6" t="s">
        <v>396</v>
      </c>
      <c r="B4" s="5" t="s">
        <v>128</v>
      </c>
      <c r="C4" s="5" t="s">
        <v>399</v>
      </c>
      <c r="D4" s="5" t="s">
        <v>400</v>
      </c>
      <c r="E4" s="5" t="s">
        <v>401</v>
      </c>
      <c r="F4" s="5" t="s">
        <v>74</v>
      </c>
      <c r="G4" s="10">
        <v>1000000</v>
      </c>
      <c r="H4" s="10">
        <v>1010000</v>
      </c>
      <c r="I4" s="10">
        <v>1000000</v>
      </c>
      <c r="J4" s="6" t="s">
        <v>76</v>
      </c>
      <c r="K4" s="35"/>
      <c r="L4" s="5" t="s">
        <v>468</v>
      </c>
      <c r="M4" s="5" t="s">
        <v>469</v>
      </c>
      <c r="N4" s="5" t="s">
        <v>470</v>
      </c>
      <c r="R4" s="37" t="s">
        <v>475</v>
      </c>
      <c r="S4" s="7">
        <f>COUNTA(A2:A9)</f>
        <v>8</v>
      </c>
      <c r="T4" s="38">
        <f>100%</f>
        <v>1</v>
      </c>
    </row>
    <row r="5" spans="1:20">
      <c r="A5" s="6" t="s">
        <v>404</v>
      </c>
      <c r="B5" s="5" t="s">
        <v>123</v>
      </c>
      <c r="C5" s="5" t="s">
        <v>405</v>
      </c>
      <c r="D5" s="5" t="s">
        <v>411</v>
      </c>
      <c r="E5" s="5" t="s">
        <v>412</v>
      </c>
      <c r="F5" s="5" t="s">
        <v>74</v>
      </c>
      <c r="G5" s="10">
        <v>1000000</v>
      </c>
      <c r="H5" s="10">
        <v>1010000</v>
      </c>
      <c r="I5" s="10">
        <v>1000000</v>
      </c>
      <c r="J5" s="6" t="s">
        <v>76</v>
      </c>
      <c r="K5" s="35"/>
      <c r="L5" s="5" t="s">
        <v>477</v>
      </c>
      <c r="M5" s="5" t="s">
        <v>478</v>
      </c>
      <c r="N5" s="5" t="s">
        <v>478</v>
      </c>
      <c r="R5" s="37" t="s">
        <v>479</v>
      </c>
      <c r="S5" s="7">
        <f>COUNTIF(L2:L9, "CELEBRADO")</f>
        <v>3</v>
      </c>
      <c r="T5" s="38">
        <f t="shared" ref="T5:T6" si="0">S5/S$4</f>
        <v>0.375</v>
      </c>
    </row>
    <row r="6" spans="1:20">
      <c r="A6" s="6" t="s">
        <v>372</v>
      </c>
      <c r="B6" s="5" t="s">
        <v>31</v>
      </c>
      <c r="C6" s="5" t="s">
        <v>403</v>
      </c>
      <c r="D6" s="5" t="s">
        <v>418</v>
      </c>
      <c r="E6" s="5" t="s">
        <v>419</v>
      </c>
      <c r="F6" s="5" t="s">
        <v>37</v>
      </c>
      <c r="G6" s="10">
        <v>500000</v>
      </c>
      <c r="H6" s="10">
        <v>525000</v>
      </c>
      <c r="I6" s="10">
        <v>500000</v>
      </c>
      <c r="J6" s="6" t="s">
        <v>76</v>
      </c>
      <c r="K6" s="35"/>
      <c r="L6" s="5" t="s">
        <v>477</v>
      </c>
      <c r="M6" s="5" t="s">
        <v>478</v>
      </c>
      <c r="N6" s="5" t="s">
        <v>478</v>
      </c>
      <c r="R6" s="37" t="s">
        <v>481</v>
      </c>
      <c r="S6" s="7">
        <f>COUNTIF(L2:L9, "NÃO CELEBRADO")</f>
        <v>5</v>
      </c>
      <c r="T6" s="38">
        <f t="shared" si="0"/>
        <v>0.625</v>
      </c>
    </row>
    <row r="7" spans="1:20">
      <c r="A7" s="6" t="s">
        <v>422</v>
      </c>
      <c r="B7" s="5" t="s">
        <v>31</v>
      </c>
      <c r="C7" s="5" t="s">
        <v>421</v>
      </c>
      <c r="D7" s="5" t="s">
        <v>425</v>
      </c>
      <c r="E7" s="5" t="s">
        <v>426</v>
      </c>
      <c r="F7" s="5" t="s">
        <v>74</v>
      </c>
      <c r="G7" s="10">
        <v>250000</v>
      </c>
      <c r="H7" s="10">
        <v>263618.48</v>
      </c>
      <c r="I7" s="10"/>
      <c r="J7" s="6" t="s">
        <v>76</v>
      </c>
      <c r="K7" s="35"/>
      <c r="L7" s="5" t="s">
        <v>477</v>
      </c>
      <c r="M7" s="5" t="s">
        <v>478</v>
      </c>
      <c r="N7" s="5" t="s">
        <v>478</v>
      </c>
      <c r="R7" s="6" t="s">
        <v>483</v>
      </c>
      <c r="S7" s="39">
        <f>SUM(G2:G9)</f>
        <v>4500000</v>
      </c>
      <c r="T7" s="38">
        <f>100%</f>
        <v>1</v>
      </c>
    </row>
    <row r="8" spans="1:20">
      <c r="A8" s="6" t="s">
        <v>393</v>
      </c>
      <c r="B8" s="5" t="s">
        <v>433</v>
      </c>
      <c r="C8" s="5"/>
      <c r="D8" s="5" t="s">
        <v>435</v>
      </c>
      <c r="E8" s="5"/>
      <c r="F8" s="5" t="s">
        <v>74</v>
      </c>
      <c r="G8" s="10">
        <v>500000</v>
      </c>
      <c r="H8" s="10">
        <v>550000</v>
      </c>
      <c r="I8" s="10"/>
      <c r="J8" s="6" t="s">
        <v>76</v>
      </c>
      <c r="K8" s="35"/>
      <c r="L8" s="5" t="s">
        <v>477</v>
      </c>
      <c r="M8" s="5" t="s">
        <v>478</v>
      </c>
      <c r="N8" s="5" t="s">
        <v>478</v>
      </c>
      <c r="R8" s="37" t="s">
        <v>485</v>
      </c>
      <c r="S8" s="39">
        <f>SUM(I2:I9)</f>
        <v>3500000</v>
      </c>
      <c r="T8" s="38">
        <f>S8/S7</f>
        <v>0.77777777777777779</v>
      </c>
    </row>
    <row r="9" spans="1:20">
      <c r="A9" s="6" t="s">
        <v>415</v>
      </c>
      <c r="B9" s="5" t="s">
        <v>31</v>
      </c>
      <c r="C9" s="5"/>
      <c r="D9" s="5" t="s">
        <v>431</v>
      </c>
      <c r="E9" s="5"/>
      <c r="F9" s="5" t="s">
        <v>74</v>
      </c>
      <c r="G9" s="10">
        <v>250000</v>
      </c>
      <c r="H9" s="10">
        <v>251000</v>
      </c>
      <c r="I9" s="10"/>
      <c r="J9" s="6" t="s">
        <v>76</v>
      </c>
      <c r="K9" s="35"/>
      <c r="L9" s="5" t="s">
        <v>477</v>
      </c>
      <c r="M9" s="5" t="s">
        <v>478</v>
      </c>
      <c r="N9" s="5" t="s">
        <v>478</v>
      </c>
      <c r="R9" s="37" t="s">
        <v>486</v>
      </c>
      <c r="S9" s="39">
        <f>S7-S8</f>
        <v>1000000</v>
      </c>
      <c r="T9" s="40">
        <f>S9/S7</f>
        <v>0.22222222222222221</v>
      </c>
    </row>
    <row r="10" spans="1:20">
      <c r="G10" s="41">
        <f t="shared" ref="G10:I10" si="1">SUM(G2:G9)</f>
        <v>4500000</v>
      </c>
      <c r="H10" s="41">
        <f t="shared" si="1"/>
        <v>4619618.4800000004</v>
      </c>
      <c r="I10" s="41">
        <f t="shared" si="1"/>
        <v>3500000</v>
      </c>
      <c r="R10" s="37" t="s">
        <v>488</v>
      </c>
      <c r="S10" s="39">
        <f>SUM(K2:K9)</f>
        <v>0</v>
      </c>
      <c r="T10" s="40">
        <f>S10/S7</f>
        <v>0</v>
      </c>
    </row>
    <row r="11" spans="1:20">
      <c r="R11" s="37" t="s">
        <v>489</v>
      </c>
      <c r="S11" s="39">
        <f>S8</f>
        <v>3500000</v>
      </c>
      <c r="T11" s="38">
        <f>S11/S7</f>
        <v>0.77777777777777779</v>
      </c>
    </row>
    <row r="13" spans="1:20">
      <c r="A13" s="2" t="s">
        <v>6</v>
      </c>
      <c r="B13" s="2" t="s">
        <v>7</v>
      </c>
      <c r="C13" s="2" t="s">
        <v>9</v>
      </c>
      <c r="D13" s="2" t="s">
        <v>10</v>
      </c>
      <c r="E13" s="2" t="s">
        <v>11</v>
      </c>
      <c r="F13" s="2" t="s">
        <v>14</v>
      </c>
      <c r="G13" s="2" t="s">
        <v>19</v>
      </c>
      <c r="H13" s="2" t="s">
        <v>20</v>
      </c>
      <c r="I13" s="2" t="s">
        <v>21</v>
      </c>
      <c r="J13" s="2" t="s">
        <v>22</v>
      </c>
      <c r="K13" s="2" t="s">
        <v>23</v>
      </c>
      <c r="L13" s="2" t="s">
        <v>467</v>
      </c>
      <c r="M13" s="2" t="s">
        <v>39</v>
      </c>
      <c r="N13" s="2" t="s">
        <v>25</v>
      </c>
    </row>
    <row r="14" spans="1:20">
      <c r="A14" s="6" t="s">
        <v>301</v>
      </c>
      <c r="B14" s="5" t="s">
        <v>141</v>
      </c>
      <c r="C14" s="5" t="s">
        <v>490</v>
      </c>
      <c r="D14" s="5" t="s">
        <v>308</v>
      </c>
      <c r="E14" s="5"/>
      <c r="F14" s="5" t="s">
        <v>87</v>
      </c>
      <c r="G14" s="12">
        <v>2500000</v>
      </c>
      <c r="H14" s="12">
        <v>2500000</v>
      </c>
      <c r="I14" s="12"/>
      <c r="J14" s="6" t="s">
        <v>76</v>
      </c>
      <c r="K14" s="12"/>
      <c r="L14" s="5" t="s">
        <v>477</v>
      </c>
      <c r="M14" s="5" t="s">
        <v>478</v>
      </c>
      <c r="N14" s="5" t="s">
        <v>478</v>
      </c>
      <c r="R14" s="51" t="s">
        <v>491</v>
      </c>
      <c r="S14" s="47"/>
      <c r="T14" s="48"/>
    </row>
    <row r="15" spans="1:20">
      <c r="A15" s="6" t="s">
        <v>320</v>
      </c>
      <c r="B15" s="5" t="s">
        <v>323</v>
      </c>
      <c r="C15" s="5" t="s">
        <v>326</v>
      </c>
      <c r="D15" s="5" t="s">
        <v>328</v>
      </c>
      <c r="E15" s="5" t="s">
        <v>329</v>
      </c>
      <c r="F15" s="5" t="s">
        <v>87</v>
      </c>
      <c r="G15" s="12">
        <v>2500000</v>
      </c>
      <c r="H15" s="12">
        <v>2500000</v>
      </c>
      <c r="I15" s="12">
        <v>2500000</v>
      </c>
      <c r="J15" s="6" t="s">
        <v>76</v>
      </c>
      <c r="K15" s="12"/>
      <c r="L15" s="5" t="s">
        <v>477</v>
      </c>
      <c r="M15" s="5" t="s">
        <v>478</v>
      </c>
      <c r="N15" s="5" t="s">
        <v>478</v>
      </c>
      <c r="R15" s="42"/>
      <c r="S15" s="42"/>
      <c r="T15" s="42"/>
    </row>
    <row r="16" spans="1:20">
      <c r="A16" s="6" t="s">
        <v>339</v>
      </c>
      <c r="B16" s="5" t="s">
        <v>141</v>
      </c>
      <c r="C16" s="5" t="s">
        <v>340</v>
      </c>
      <c r="D16" s="5" t="s">
        <v>341</v>
      </c>
      <c r="E16" s="5" t="s">
        <v>342</v>
      </c>
      <c r="F16" s="5" t="s">
        <v>37</v>
      </c>
      <c r="G16" s="12">
        <v>250000</v>
      </c>
      <c r="H16" s="12">
        <v>250000</v>
      </c>
      <c r="I16" s="12">
        <v>250000</v>
      </c>
      <c r="J16" s="6" t="s">
        <v>76</v>
      </c>
      <c r="K16" s="12"/>
      <c r="L16" s="5" t="s">
        <v>477</v>
      </c>
      <c r="M16" s="5" t="s">
        <v>478</v>
      </c>
      <c r="N16" s="5" t="s">
        <v>478</v>
      </c>
      <c r="R16" s="37"/>
      <c r="S16" s="36" t="s">
        <v>473</v>
      </c>
      <c r="T16" s="36" t="s">
        <v>474</v>
      </c>
    </row>
    <row r="17" spans="1:26">
      <c r="A17" s="6" t="s">
        <v>352</v>
      </c>
      <c r="B17" s="5" t="s">
        <v>141</v>
      </c>
      <c r="C17" s="5" t="s">
        <v>355</v>
      </c>
      <c r="D17" s="5" t="s">
        <v>356</v>
      </c>
      <c r="E17" s="5" t="s">
        <v>357</v>
      </c>
      <c r="F17" s="5" t="s">
        <v>37</v>
      </c>
      <c r="G17" s="12">
        <v>500000</v>
      </c>
      <c r="H17" s="12">
        <v>500000</v>
      </c>
      <c r="I17" s="12"/>
      <c r="J17" s="6" t="s">
        <v>76</v>
      </c>
      <c r="K17" s="12"/>
      <c r="L17" s="5" t="s">
        <v>477</v>
      </c>
      <c r="M17" s="5" t="s">
        <v>478</v>
      </c>
      <c r="N17" s="5" t="s">
        <v>478</v>
      </c>
      <c r="R17" s="37" t="s">
        <v>492</v>
      </c>
      <c r="S17" s="7">
        <f>COUNTA(A14:A17)</f>
        <v>4</v>
      </c>
      <c r="T17" s="38">
        <f>100%</f>
        <v>1</v>
      </c>
    </row>
    <row r="18" spans="1:26">
      <c r="G18" s="41">
        <f t="shared" ref="G18:I18" si="2">SUM(G14:G17)</f>
        <v>5750000</v>
      </c>
      <c r="H18" s="41">
        <f t="shared" si="2"/>
        <v>5750000</v>
      </c>
      <c r="I18" s="41">
        <f t="shared" si="2"/>
        <v>2750000</v>
      </c>
      <c r="R18" s="37" t="s">
        <v>479</v>
      </c>
      <c r="S18" s="7">
        <f>COUNTIF(L14:L17, "CELEBRADO")</f>
        <v>0</v>
      </c>
      <c r="T18" s="38">
        <f t="shared" ref="T18:T19" si="3">S18/S$17</f>
        <v>0</v>
      </c>
      <c r="U18" s="54"/>
      <c r="V18" s="54"/>
      <c r="W18" s="54"/>
      <c r="X18" s="54"/>
      <c r="Y18" s="54"/>
      <c r="Z18" s="54"/>
    </row>
    <row r="19" spans="1:26">
      <c r="P19" s="13" t="s">
        <v>495</v>
      </c>
      <c r="R19" s="37" t="s">
        <v>481</v>
      </c>
      <c r="S19" s="7">
        <f>COUNTIF(L14:L17, "NÃO CELEBRADO")</f>
        <v>4</v>
      </c>
      <c r="T19" s="38">
        <f t="shared" si="3"/>
        <v>1</v>
      </c>
    </row>
    <row r="20" spans="1:26">
      <c r="R20" s="6" t="s">
        <v>483</v>
      </c>
      <c r="S20" s="39">
        <f>SUM(G14:G17)</f>
        <v>5750000</v>
      </c>
      <c r="T20" s="38">
        <f>100%</f>
        <v>1</v>
      </c>
    </row>
    <row r="21" spans="1:26">
      <c r="R21" s="37" t="s">
        <v>485</v>
      </c>
      <c r="S21" s="39">
        <f>SUM(I14:I17)</f>
        <v>2750000</v>
      </c>
      <c r="T21" s="38">
        <f>S21/S20</f>
        <v>0.47826086956521741</v>
      </c>
    </row>
    <row r="22" spans="1:26">
      <c r="R22" s="37" t="s">
        <v>486</v>
      </c>
      <c r="S22" s="39">
        <f>S20-S21</f>
        <v>3000000</v>
      </c>
      <c r="T22" s="38">
        <f>S22/S20</f>
        <v>0.52173913043478259</v>
      </c>
    </row>
    <row r="23" spans="1:26">
      <c r="R23" s="37" t="s">
        <v>488</v>
      </c>
      <c r="S23" s="39">
        <f>SUM(K14:K17)</f>
        <v>0</v>
      </c>
      <c r="T23" s="38">
        <f>S23/S20</f>
        <v>0</v>
      </c>
    </row>
    <row r="24" spans="1:26">
      <c r="R24" s="37" t="s">
        <v>489</v>
      </c>
      <c r="S24" s="39">
        <f>S21</f>
        <v>2750000</v>
      </c>
      <c r="T24" s="38">
        <f>S24/S20</f>
        <v>0.47826086956521741</v>
      </c>
    </row>
  </sheetData>
  <mergeCells count="3">
    <mergeCell ref="R2:T2"/>
    <mergeCell ref="R14:T14"/>
    <mergeCell ref="U18:Z18"/>
  </mergeCells>
  <conditionalFormatting sqref="K2:K9 J2:J17 L2:N17">
    <cfRule type="containsText" dxfId="2" priority="1" operator="containsText" text="SIM">
      <formula>NOT(ISERROR(SEARCH(("SIM"),(J2))))</formula>
    </cfRule>
    <cfRule type="containsText" dxfId="1" priority="2" operator="containsText" text="NÃO">
      <formula>NOT(ISERROR(SEARCH(("NÃO"),(J2))))</formula>
    </cfRule>
  </conditionalFormatting>
  <conditionalFormatting sqref="L2:L9 L12:L17">
    <cfRule type="containsText" dxfId="0" priority="3" operator="containsText" text="CELEBRADO">
      <formula>NOT(ISERROR(SEARCH(("CELEBRADO"),(L2))))</formula>
    </cfRule>
  </conditionalFormatting>
  <printOptions horizontalCentered="1"/>
  <pageMargins left="0.25" right="0.25" top="0.75" bottom="0.75" header="0" footer="0"/>
  <pageSetup paperSize="9" pageOrder="overThenDown" orientation="landscape"/>
  <rowBreaks count="1" manualBreakCount="1">
    <brk id="17" man="1"/>
  </rowBreaks>
  <colBreaks count="2" manualBreakCount="2">
    <brk man="1"/>
    <brk id="14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C22"/>
  <sheetViews>
    <sheetView workbookViewId="0"/>
  </sheetViews>
  <sheetFormatPr defaultColWidth="11.25" defaultRowHeight="15.75" customHeight="1"/>
  <cols>
    <col min="1" max="1" width="36.25" customWidth="1"/>
    <col min="2" max="2" width="14.375" customWidth="1"/>
    <col min="3" max="3" width="9.75" customWidth="1"/>
  </cols>
  <sheetData>
    <row r="1" spans="1:3">
      <c r="A1" s="50" t="s">
        <v>472</v>
      </c>
      <c r="B1" s="47"/>
      <c r="C1" s="48"/>
    </row>
    <row r="2" spans="1:3">
      <c r="A2" s="7"/>
      <c r="B2" s="36" t="s">
        <v>473</v>
      </c>
      <c r="C2" s="36" t="s">
        <v>474</v>
      </c>
    </row>
    <row r="3" spans="1:3">
      <c r="A3" s="37" t="s">
        <v>475</v>
      </c>
      <c r="B3" s="7">
        <f>COUNTA('Instrumentos Celebrados - 2026'!A2:A9)</f>
        <v>8</v>
      </c>
      <c r="C3" s="38">
        <f>100%</f>
        <v>1</v>
      </c>
    </row>
    <row r="4" spans="1:3">
      <c r="A4" s="37" t="s">
        <v>479</v>
      </c>
      <c r="B4" s="7">
        <f>COUNTIF('Instrumentos Celebrados - 2026'!L2:L9, "CELEBRADO")</f>
        <v>3</v>
      </c>
      <c r="C4" s="38">
        <f>B4/B3</f>
        <v>0.375</v>
      </c>
    </row>
    <row r="5" spans="1:3">
      <c r="A5" s="37" t="s">
        <v>481</v>
      </c>
      <c r="B5" s="7">
        <f>COUNTIF('Instrumentos Celebrados - 2026'!L2:L9, "NÃO CELEBRADO")</f>
        <v>5</v>
      </c>
      <c r="C5" s="38">
        <f>B5/B3</f>
        <v>0.625</v>
      </c>
    </row>
    <row r="6" spans="1:3">
      <c r="A6" s="6" t="s">
        <v>483</v>
      </c>
      <c r="B6" s="39">
        <f>SUM('Instrumentos Celebrados - 2026'!G2:G9)</f>
        <v>4500000</v>
      </c>
      <c r="C6" s="38">
        <f>100%</f>
        <v>1</v>
      </c>
    </row>
    <row r="7" spans="1:3">
      <c r="A7" s="37" t="s">
        <v>485</v>
      </c>
      <c r="B7" s="39">
        <f>SUM('Instrumentos Celebrados - 2026'!I2:I9)</f>
        <v>3500000</v>
      </c>
      <c r="C7" s="38">
        <f>B7/B6</f>
        <v>0.77777777777777779</v>
      </c>
    </row>
    <row r="8" spans="1:3">
      <c r="A8" s="37" t="s">
        <v>486</v>
      </c>
      <c r="B8" s="39">
        <f>B6-B7</f>
        <v>1000000</v>
      </c>
      <c r="C8" s="40">
        <f>B8/B6</f>
        <v>0.22222222222222221</v>
      </c>
    </row>
    <row r="9" spans="1:3">
      <c r="A9" s="37" t="s">
        <v>488</v>
      </c>
      <c r="B9" s="39">
        <f>SUM('Instrumentos Celebrados - 2026'!K2:K9)</f>
        <v>0</v>
      </c>
      <c r="C9" s="40">
        <f>B9/B6</f>
        <v>0</v>
      </c>
    </row>
    <row r="10" spans="1:3">
      <c r="A10" s="37" t="s">
        <v>489</v>
      </c>
      <c r="B10" s="39">
        <f>B7</f>
        <v>3500000</v>
      </c>
      <c r="C10" s="38">
        <f>B10/B6</f>
        <v>0.77777777777777779</v>
      </c>
    </row>
    <row r="13" spans="1:3">
      <c r="A13" s="51" t="s">
        <v>491</v>
      </c>
      <c r="B13" s="47"/>
      <c r="C13" s="48"/>
    </row>
    <row r="14" spans="1:3">
      <c r="A14" s="37"/>
      <c r="B14" s="36" t="s">
        <v>473</v>
      </c>
      <c r="C14" s="36" t="s">
        <v>474</v>
      </c>
    </row>
    <row r="15" spans="1:3">
      <c r="A15" s="37" t="s">
        <v>492</v>
      </c>
      <c r="B15" s="7">
        <f>COUNTA('Instrumentos Celebrados - 2026'!A14:A17)</f>
        <v>4</v>
      </c>
      <c r="C15" s="38">
        <f>100%</f>
        <v>1</v>
      </c>
    </row>
    <row r="16" spans="1:3">
      <c r="A16" s="37" t="s">
        <v>479</v>
      </c>
      <c r="B16" s="7">
        <f>COUNTIF('Instrumentos Celebrados - 2026'!L14:L17, "CELEBRADO")</f>
        <v>0</v>
      </c>
      <c r="C16" s="38">
        <f>B16/B15</f>
        <v>0</v>
      </c>
    </row>
    <row r="17" spans="1:3">
      <c r="A17" s="37" t="s">
        <v>481</v>
      </c>
      <c r="B17" s="7">
        <f>COUNTIF('Instrumentos Celebrados - 2026'!L14:L17, "NÃO CELEBRADO")</f>
        <v>4</v>
      </c>
      <c r="C17" s="38">
        <f>B17/B15</f>
        <v>1</v>
      </c>
    </row>
    <row r="18" spans="1:3">
      <c r="A18" s="6" t="s">
        <v>483</v>
      </c>
      <c r="B18" s="39">
        <f>SUM('Instrumentos Celebrados - 2026'!G14:G17)</f>
        <v>5750000</v>
      </c>
      <c r="C18" s="38">
        <f>100%</f>
        <v>1</v>
      </c>
    </row>
    <row r="19" spans="1:3">
      <c r="A19" s="37" t="s">
        <v>485</v>
      </c>
      <c r="B19" s="39">
        <f>SUM('Instrumentos Celebrados - 2026'!I14:I16)</f>
        <v>2750000</v>
      </c>
      <c r="C19" s="38">
        <f>B19/B18</f>
        <v>0.47826086956521741</v>
      </c>
    </row>
    <row r="20" spans="1:3">
      <c r="A20" s="37" t="s">
        <v>486</v>
      </c>
      <c r="B20" s="39">
        <f>B18-B19</f>
        <v>3000000</v>
      </c>
      <c r="C20" s="38">
        <f>B20/B18</f>
        <v>0.52173913043478259</v>
      </c>
    </row>
    <row r="21" spans="1:3">
      <c r="A21" s="37" t="s">
        <v>488</v>
      </c>
      <c r="B21" s="39">
        <f>SUM('Instrumentos Celebrados - 2026'!K14:K17)</f>
        <v>0</v>
      </c>
      <c r="C21" s="38">
        <f>B21/B18</f>
        <v>0</v>
      </c>
    </row>
    <row r="22" spans="1:3">
      <c r="A22" s="37" t="s">
        <v>489</v>
      </c>
      <c r="B22" s="39">
        <f>B19</f>
        <v>2750000</v>
      </c>
      <c r="C22" s="38">
        <f>B22/B18</f>
        <v>0.47826086956521741</v>
      </c>
    </row>
  </sheetData>
  <mergeCells count="2">
    <mergeCell ref="A1:C1"/>
    <mergeCell ref="A13:C13"/>
  </mergeCells>
  <printOptions horizontalCentered="1"/>
  <pageMargins left="0.25" right="0.25" top="0.75" bottom="0.75" header="0" footer="0"/>
  <pageSetup paperSize="9" fitToHeight="0" pageOrder="overThenDown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8"/>
  <sheetViews>
    <sheetView workbookViewId="0"/>
  </sheetViews>
  <sheetFormatPr defaultColWidth="11.25" defaultRowHeight="15.75" customHeight="1"/>
  <cols>
    <col min="2" max="2" width="15.5" customWidth="1"/>
  </cols>
  <sheetData>
    <row r="1" spans="1:2">
      <c r="A1" s="43" t="s">
        <v>5</v>
      </c>
      <c r="B1" s="43" t="s">
        <v>510</v>
      </c>
    </row>
    <row r="2" spans="1:2">
      <c r="A2" s="44">
        <v>2026</v>
      </c>
      <c r="B2" s="45">
        <v>100000000</v>
      </c>
    </row>
    <row r="3" spans="1:2">
      <c r="A3" s="19"/>
    </row>
    <row r="4" spans="1:2">
      <c r="A4" s="19"/>
    </row>
    <row r="5" spans="1:2">
      <c r="A5" s="19"/>
    </row>
    <row r="6" spans="1:2">
      <c r="A6" s="19"/>
    </row>
    <row r="7" spans="1:2">
      <c r="A7" s="19"/>
    </row>
    <row r="8" spans="1:2">
      <c r="A8" s="19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7"/>
  <sheetViews>
    <sheetView showGridLines="0" workbookViewId="0"/>
  </sheetViews>
  <sheetFormatPr defaultColWidth="11.25" defaultRowHeight="15.75" customHeight="1"/>
  <cols>
    <col min="1" max="1" width="44.25" customWidth="1"/>
    <col min="2" max="2" width="13.25" customWidth="1"/>
    <col min="3" max="3" width="19.75" customWidth="1"/>
  </cols>
  <sheetData>
    <row r="1" spans="1:3">
      <c r="A1" s="55"/>
      <c r="B1" s="56" t="s">
        <v>511</v>
      </c>
      <c r="C1" s="57"/>
    </row>
    <row r="2" spans="1:3">
      <c r="A2" s="56" t="s">
        <v>6</v>
      </c>
      <c r="B2" s="55" t="s">
        <v>20</v>
      </c>
      <c r="C2" s="58" t="s">
        <v>23</v>
      </c>
    </row>
    <row r="3" spans="1:3">
      <c r="A3" s="55" t="s">
        <v>458</v>
      </c>
      <c r="B3" s="59">
        <v>12500000</v>
      </c>
      <c r="C3" s="60">
        <v>12500000</v>
      </c>
    </row>
    <row r="4" spans="1:3">
      <c r="A4" s="61" t="s">
        <v>447</v>
      </c>
      <c r="B4" s="62">
        <v>5000000</v>
      </c>
      <c r="C4" s="63">
        <v>5000000</v>
      </c>
    </row>
    <row r="5" spans="1:3">
      <c r="A5" s="61" t="s">
        <v>451</v>
      </c>
      <c r="B5" s="62">
        <v>5000000</v>
      </c>
      <c r="C5" s="63">
        <v>5000000</v>
      </c>
    </row>
    <row r="6" spans="1:3">
      <c r="A6" s="61" t="s">
        <v>454</v>
      </c>
      <c r="B6" s="62">
        <v>4002240</v>
      </c>
      <c r="C6" s="63">
        <v>3500000</v>
      </c>
    </row>
    <row r="7" spans="1:3" ht="15.75" customHeight="1">
      <c r="A7" s="64" t="s">
        <v>512</v>
      </c>
      <c r="B7" s="65">
        <v>26502240</v>
      </c>
      <c r="C7" s="66">
        <v>26000000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Convênios</vt:lpstr>
      <vt:lpstr>Resumo de Convênios</vt:lpstr>
      <vt:lpstr>Termo de Fomento</vt:lpstr>
      <vt:lpstr>Resumo de Fomentos</vt:lpstr>
      <vt:lpstr>TED</vt:lpstr>
      <vt:lpstr>Valores ja Repassados</vt:lpstr>
      <vt:lpstr>Resumo de Instrumentos Celebrad</vt:lpstr>
      <vt:lpstr>Instrumentos Celebrados - 2026</vt:lpstr>
      <vt:lpstr>Resumo dos Instrumentos Celebra</vt:lpstr>
      <vt:lpstr>Orçamento MTur</vt:lpstr>
      <vt:lpstr>Tabela dinâmica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Ronaldy Luiz Ferreira dos Santos</dc:creator>
  <cp:lastModifiedBy>Ronaldy Luiz Ferreira dos Santos</cp:lastModifiedBy>
  <dcterms:created xsi:type="dcterms:W3CDTF">2026-10-23T20:20:02Z</dcterms:created>
  <dcterms:modified xsi:type="dcterms:W3CDTF">2026-10-23T20:20:02Z</dcterms:modified>
</cp:coreProperties>
</file>