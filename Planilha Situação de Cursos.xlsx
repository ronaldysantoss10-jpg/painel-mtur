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ênios" sheetId="1" r:id="rId5"/>
    <sheet state="visible" name="Resumo de Convênios" sheetId="2" r:id="rId6"/>
    <sheet state="visible" name="Termo de Fomento" sheetId="3" r:id="rId7"/>
    <sheet state="visible" name="Resumo de Fomentos" sheetId="4" r:id="rId8"/>
    <sheet state="visible" name="TED" sheetId="5" r:id="rId9"/>
    <sheet state="visible" name="Valores ja Repassados" sheetId="6" r:id="rId10"/>
    <sheet state="visible" name="Resumo de Instrumentos Celebrad" sheetId="7" r:id="rId11"/>
    <sheet state="visible" name="Instrumentos Celebrados - 2026" sheetId="8" r:id="rId12"/>
    <sheet state="visible" name="Resumo dos Instrumentos Celebra" sheetId="9" r:id="rId13"/>
    <sheet state="visible" name="Orçamento MTur" sheetId="10" r:id="rId14"/>
    <sheet state="hidden" name="Tabela dinâmica 1" sheetId="11" r:id="rId15"/>
  </sheets>
  <definedNames>
    <definedName hidden="1" localSheetId="0" name="_xlnm._FilterDatabase">'Convênios'!$A$2:$T$37</definedName>
    <definedName hidden="1" localSheetId="1" name="_xlnm._FilterDatabase">'Resumo de Convênios'!$A$1:$G$34</definedName>
    <definedName hidden="1" localSheetId="2" name="_xlnm._FilterDatabase">'Termo de Fomento'!$A$2:$T$14</definedName>
    <definedName hidden="1" localSheetId="4" name="_xlnm._FilterDatabase">TED!$A$2:$O$6</definedName>
  </definedNames>
  <calcPr/>
  <pivotCaches>
    <pivotCache cacheId="0" r:id="rId16"/>
    <pivotCache cacheId="1" r:id="rId17"/>
    <pivotCache cacheId="2" r:id="rId18"/>
    <pivotCache cacheId="3" r:id="rId19"/>
    <pivotCache cacheId="4" r:id="rId20"/>
  </pivotCaches>
</workbook>
</file>

<file path=xl/sharedStrings.xml><?xml version="1.0" encoding="utf-8"?>
<sst xmlns="http://schemas.openxmlformats.org/spreadsheetml/2006/main" count="1808" uniqueCount="469">
  <si>
    <t>Dados Básicos do Instrumento</t>
  </si>
  <si>
    <t>Situação do Repasse Financeiro</t>
  </si>
  <si>
    <t>Status da Cláusula Suspensiva e Aditivo</t>
  </si>
  <si>
    <t>Categorização de Motivos</t>
  </si>
  <si>
    <t>Contatos</t>
  </si>
  <si>
    <t>Ano</t>
  </si>
  <si>
    <t>Nome do proponente</t>
  </si>
  <si>
    <t>UF do Proponente</t>
  </si>
  <si>
    <t>Instrumento</t>
  </si>
  <si>
    <t>Número da Proposta</t>
  </si>
  <si>
    <t>Número do processo SEI</t>
  </si>
  <si>
    <t>Status das Ressalvas e Aditivo</t>
  </si>
  <si>
    <t>Objeto</t>
  </si>
  <si>
    <t>Modalidade</t>
  </si>
  <si>
    <t>Código do Programa</t>
  </si>
  <si>
    <t>Parlamentar Solicitante</t>
  </si>
  <si>
    <t>Data Início de Vigência</t>
  </si>
  <si>
    <t>Data Término de Vigência Atual</t>
  </si>
  <si>
    <t>Valor de Repasse da Proposta</t>
  </si>
  <si>
    <t>Valor Global</t>
  </si>
  <si>
    <t>Valor do Empenho</t>
  </si>
  <si>
    <t>Repasse Financeiro Realizado?</t>
  </si>
  <si>
    <t>Valor Já Repassado (MTur)</t>
  </si>
  <si>
    <t>Saiu da Cláusula Suspensiva?</t>
  </si>
  <si>
    <t>Termo Aditivo Assinado?</t>
  </si>
  <si>
    <t>Motivo da Permanência na Cláusula Suspensiva</t>
  </si>
  <si>
    <t>Telefone</t>
  </si>
  <si>
    <t>Saiu das Ressalvas?</t>
  </si>
  <si>
    <t>E-mail</t>
  </si>
  <si>
    <t>Motivo da Permanência nas Ressalvas</t>
  </si>
  <si>
    <t>Data do Repasse</t>
  </si>
  <si>
    <t>Associação Brasileira da Indústria de Hotéis do Rio Grande do Norte - ABIH/RN</t>
  </si>
  <si>
    <t>RN</t>
  </si>
  <si>
    <t>Termo de Fomento nº 971418/2024</t>
  </si>
  <si>
    <t>035534/2024</t>
  </si>
  <si>
    <t>72031.009417/2024-67</t>
  </si>
  <si>
    <t>Secretaria Estadual de Turismo do Rio Grande do Norte  (SETUR-RN)</t>
  </si>
  <si>
    <t>Promover formação profissional, oportunizando o desenvolvimento do turismo local, a sustentabilidade turística, impulsionando o crescimento econômico e sustentável, do turismo e da cultura, do estado do Rio Grande do Norte.</t>
  </si>
  <si>
    <t>Convênio nº 970061/2024</t>
  </si>
  <si>
    <t>RP6</t>
  </si>
  <si>
    <t>005283/2024</t>
  </si>
  <si>
    <t>72031.002432/2024-84</t>
  </si>
  <si>
    <t>Rogério Marinho</t>
  </si>
  <si>
    <t>Qualificação e Capacitação para profissionais que atuam ou pretendem atuar na área de turismo nos municípios de Currais Novos, Cerro Corá, Lagoa Nova, Carnaúba dos Dantas e Parelhas, Felipe Guerra, Portalegre e Patu, localizados na região do Seridó, IGR Rota do Frio e Oeste Potiguar do Rio Grande do Norte.</t>
  </si>
  <si>
    <t>Fernando Mineiro</t>
  </si>
  <si>
    <t>SIM</t>
  </si>
  <si>
    <t>NÃO</t>
  </si>
  <si>
    <t>NT E TA EM ANALISE ALDO</t>
  </si>
  <si>
    <t>(84) 99211-4315
(84) 3202-2746</t>
  </si>
  <si>
    <t>presidencia@abihrn.com.br</t>
  </si>
  <si>
    <t>INSTITUTO NACIONAL DE PARCERIAS PUBLICAS - INPP</t>
  </si>
  <si>
    <t>DF</t>
  </si>
  <si>
    <t>Termo de Fomento nº 988679/2025</t>
  </si>
  <si>
    <t>065987/2025</t>
  </si>
  <si>
    <t>72031.011036/2025-29</t>
  </si>
  <si>
    <t>Realização do projeto Qualifica Turismo</t>
  </si>
  <si>
    <t>RP8</t>
  </si>
  <si>
    <t>Doutor Luizinho</t>
  </si>
  <si>
    <t>(84) 98113-2313</t>
  </si>
  <si>
    <t>kalinesetur@gmail.com ; seturqualificacão@gmail.com</t>
  </si>
  <si>
    <t>Serviço Nacional de Aprendizagem Comercial do Rio Grande do Norte (SENAC-RN)</t>
  </si>
  <si>
    <t>Convênio nº 970093/2024</t>
  </si>
  <si>
    <t>006142/2024</t>
  </si>
  <si>
    <t>72031.002426/2024-27</t>
  </si>
  <si>
    <t xml:space="preserve">Desenvolvimento do turismo no interior do Rio Grande do Norte, oportunizando a sustentabilidade turística, impulsionando o crescimento econômico, inclusivo e sustentável, do turismo e da cultura, por meio de ações de consultoria e qualificação para formação do trade turístico e da comunidade. </t>
  </si>
  <si>
    <t>(61) 99870-3785</t>
  </si>
  <si>
    <t>institutoinppsocial@gmail.com</t>
  </si>
  <si>
    <t>INSTITUTO SOCIAL DE CAPELANIA EDUCACIONAL E CULTURAL DO MARANHAO ISCEC MA</t>
  </si>
  <si>
    <t>MA</t>
  </si>
  <si>
    <t>Termo de Fomento nº 988537/2025</t>
  </si>
  <si>
    <t>065935/2025</t>
  </si>
  <si>
    <t>72031.011033/2025-95</t>
  </si>
  <si>
    <t>Realização de Cursos de Qualificação voltados a prestadores de serviços turísticos.</t>
  </si>
  <si>
    <t>Pedro Lucas Fernandes</t>
  </si>
  <si>
    <t>(84) 99152-8548</t>
  </si>
  <si>
    <t>IgorG@rn.senac.br</t>
  </si>
  <si>
    <t>(98) 98809-1276</t>
  </si>
  <si>
    <t>iscecma2025@gmail.com</t>
  </si>
  <si>
    <t>INSTITUTO CONEXAO</t>
  </si>
  <si>
    <t>SERVICO DE APOIO AS MICRO E PEQUENAS EMPRESAS DE SE (SEBRAE)</t>
  </si>
  <si>
    <t>RJ</t>
  </si>
  <si>
    <t>Termo de Fomento nº 987800/2025</t>
  </si>
  <si>
    <t>SE</t>
  </si>
  <si>
    <t>065398/2025</t>
  </si>
  <si>
    <t>72031.010787/2025-28</t>
  </si>
  <si>
    <t>Convênio nº 970062/2024</t>
  </si>
  <si>
    <t>Implementação do Projeto Rio Destino 360 no Estado do Rio de Janeiro.</t>
  </si>
  <si>
    <t>001673/2024</t>
  </si>
  <si>
    <t>Otoni de Paula</t>
  </si>
  <si>
    <t>72031.002433/2024-29</t>
  </si>
  <si>
    <t>Implementação de ações de qualificação destinados à realização de estudos, capacitações e eventos voltados para os trabalhadores do setor do turismo, microempreendedores individuais, microempresas, produtores locais associados ao turismo, artesãos e gestores públicos e privados do estado de Sergipe.</t>
  </si>
  <si>
    <t>Yandra Moura</t>
  </si>
  <si>
    <t xml:space="preserve">(21) 97523-6226
(21) 983418620 </t>
  </si>
  <si>
    <t>institutoconexaooficial@gmail.com</t>
  </si>
  <si>
    <t>INSTITUTO RESGATE ONG ESCOLA VOLUNTARIA AGRICOLA</t>
  </si>
  <si>
    <t>Termo de Fomento nº 981884/2025</t>
  </si>
  <si>
    <t>057787/2025</t>
  </si>
  <si>
    <t>72031.008882/2025-61</t>
  </si>
  <si>
    <t>Realização de Cursos de Qualificação Profissional voltados a prestadores de serviços dos setores turísticos do Estado do Maranhão.</t>
  </si>
  <si>
    <t>(79) 9633-9585</t>
  </si>
  <si>
    <t>direx@se.sebrae.com.br</t>
  </si>
  <si>
    <t>SECRETARIA DE ESTADO DE TURISMO (SETUR-PA)</t>
  </si>
  <si>
    <t>PA</t>
  </si>
  <si>
    <t>Convênio nº 969365/2024</t>
  </si>
  <si>
    <t>024089/2024</t>
  </si>
  <si>
    <t>(98) 98250-4907</t>
  </si>
  <si>
    <t>72031.007271/2023-34</t>
  </si>
  <si>
    <t>institutoresgateong@gmail.com</t>
  </si>
  <si>
    <t>INSTITUTO FUTURE DE JUVENTUDE PROMOÇÃO TURISMO</t>
  </si>
  <si>
    <t>Qualificar o maior número de prestadores de serviço do turismo nas cidades de Belém, Ananindeua, Marituba e Benevides. Planeja-se, também, acompanhar e monitorar a inserção das pessoas atendidas no mercado de trabalho do turismo, com vistas a garantir a incorporação de mão de obra qualificada e alcançar o objetivo primeiro desta proposta. Para isso, pretende-se contratar empresa especializada para executar os cursos pretendidos, sob acompanhamento e fiscalização da Secretaria de Estado de Turismo do Pará.</t>
  </si>
  <si>
    <t>CE</t>
  </si>
  <si>
    <t>RP2</t>
  </si>
  <si>
    <t>Termo de Fomento nº 982190/2025</t>
  </si>
  <si>
    <t>048761/2025</t>
  </si>
  <si>
    <t>72031.007746/2025-54</t>
  </si>
  <si>
    <t>MINISTRO</t>
  </si>
  <si>
    <t>Realizar a qualificação para os profissionais da área de turismo de eventos</t>
  </si>
  <si>
    <t>Dayany Bittencourt</t>
  </si>
  <si>
    <t>Foi Assinado mas ALDO pediu para segurar o cadastro do TA</t>
  </si>
  <si>
    <t>(91) 9275-0780</t>
  </si>
  <si>
    <t>raylime.costa@setur.pa.gov.br</t>
  </si>
  <si>
    <t>(85) 3034-7974</t>
  </si>
  <si>
    <t>institutofuture@gmail.com; edna.c.v@gmail.com ou  financeiro.instituto01@gmail.com</t>
  </si>
  <si>
    <t>MUNICIPIO DE WENCESLAU GUIMARAES</t>
  </si>
  <si>
    <t>INSTITUTO SOMAR SOLUÇÃO BRASIL</t>
  </si>
  <si>
    <t>Convênio nº 982062/2025</t>
  </si>
  <si>
    <t>044302/2025</t>
  </si>
  <si>
    <t>Termo de Fomento nº 981981/2025</t>
  </si>
  <si>
    <t>72031.007745/2025-18</t>
  </si>
  <si>
    <t>047523/2025</t>
  </si>
  <si>
    <t>72031.007747/2025-07</t>
  </si>
  <si>
    <t>Implementação do Projeto Esporte Transformando Vidas, no Município de Wenceslau Guimarães-BA.</t>
  </si>
  <si>
    <t>Realização de cursos de qualificação profissional voltados a prestadores de serviços turísticos.</t>
  </si>
  <si>
    <t>Murillo Gouvea</t>
  </si>
  <si>
    <t>Dal Barreto</t>
  </si>
  <si>
    <t>(21) 99759-8450</t>
  </si>
  <si>
    <t>diretoriaexecutiva.somar@gmail.com</t>
  </si>
  <si>
    <t>ASSOCIAÇÃO CONSTRUIR DE ASSISTENCIA SOCIAL</t>
  </si>
  <si>
    <t>Termo de Fomento nº 982185/2025</t>
  </si>
  <si>
    <t>045968/2025</t>
  </si>
  <si>
    <t>72031.007749/2025-98</t>
  </si>
  <si>
    <t>Realização de cursos de qualificação profissional voltados a prestadores de serviços turísticos nos municípios de Guapimirim e Búzios – RJ.</t>
  </si>
  <si>
    <t>NÃO FEZ O ENVIO DA PLANILHA E NEM DO TR ATUALIZADO</t>
  </si>
  <si>
    <t>(73) 99979-4436</t>
  </si>
  <si>
    <t>Juninho do Pneu</t>
  </si>
  <si>
    <t>gabrielandrade_gomes@hotmail.com</t>
  </si>
  <si>
    <t>MUNICIPIO DE PORANGATU</t>
  </si>
  <si>
    <t>GO</t>
  </si>
  <si>
    <t>Convênio nº 981938/2025</t>
  </si>
  <si>
    <t>045921/2025</t>
  </si>
  <si>
    <t>72031.007744/2025-65</t>
  </si>
  <si>
    <t>Realização de cursos e oficinas de qualificação profissional voltados a prestadores de serviços turísticos no município de Porangatu-Go.</t>
  </si>
  <si>
    <t>(21) 98134-9150
(21) 98206-2395</t>
  </si>
  <si>
    <t>José Nelto</t>
  </si>
  <si>
    <t>borgesadvogadosbr@gmail.com</t>
  </si>
  <si>
    <t>LIGA BRASILEIRA DE CLUBES DE BOXE</t>
  </si>
  <si>
    <t xml:space="preserve">THIAGO ESTÁ ANALISANDO </t>
  </si>
  <si>
    <t>(62) 99314-8683</t>
  </si>
  <si>
    <t>conveniosporangatu2021@gmail.com</t>
  </si>
  <si>
    <t>MUNICIPIO DE NATAL</t>
  </si>
  <si>
    <t>026743/2026</t>
  </si>
  <si>
    <t>Convênio nº 988080/2025</t>
  </si>
  <si>
    <t>72031.007306/2026-88</t>
  </si>
  <si>
    <t>065869/2025</t>
  </si>
  <si>
    <t>72031.010978/2025-90</t>
  </si>
  <si>
    <t>Execução de ações de qualificação profissional no setor turistico de Natal, por meio de cursos e capacitações</t>
  </si>
  <si>
    <t>Execução do projeto Turismo em Movimento: Capacitação para o Turismo Esportivo no Rio de Janeiro, destinado à capacitação gratuita de 450 pessoas, de ambos os sexos, com idade entre 18 e 45 anos, para atuação na cadeia do turismo esportivo, com foco na qualificação de serviços relacionados à recepção de visitantes, atendimento ao turista, hospitalidade, apoio operacional, empreendedorismo, sustentabilidade, segurança turística e organização de atividades vinculadas a grandes eventos esportivos. O projeto será realizado nos municípios de Paracambi/RJ e Rio de Janeiro/RJ, em formato híbrido, com atividades presenciais e online, durante o período de 90 dias, buscando ampliar as oportunidades de inclusão produtiva, geração de renda e participação da população local nas atividades econômicas relacionadas ao turismo esportivo, especialmente em contextos de eventos de grande circulação, como competições de boxe e demais modalidades esportivas de interesse turístico.</t>
  </si>
  <si>
    <t>DR. Flavio Campos Ferreira</t>
  </si>
  <si>
    <t>(84) 3232-4907</t>
  </si>
  <si>
    <t>gestores.sempla@natal.rn.gov.br</t>
  </si>
  <si>
    <t>MUNICÍPIO DO CONDE</t>
  </si>
  <si>
    <t>PB</t>
  </si>
  <si>
    <t>Convênio nº 982177/2025</t>
  </si>
  <si>
    <t>Data Término de Vigência</t>
  </si>
  <si>
    <t>058187/2025</t>
  </si>
  <si>
    <t>72031.009014/2025-07</t>
  </si>
  <si>
    <t>IMPEDIMENTO TÉCNICO</t>
  </si>
  <si>
    <t>(61) 99214-3725</t>
  </si>
  <si>
    <t>Fauziprojetos@gmail.com</t>
  </si>
  <si>
    <t>Cabo Gilberto Silva</t>
  </si>
  <si>
    <t>ADEMINAS AGENCIA DE DESENVOLVIMENTO ECONOMICO E SOCIAL DO ESTADO DE MINAS GERAIS</t>
  </si>
  <si>
    <t>MG</t>
  </si>
  <si>
    <t>Termo de Fomento nº 7AAAJN/2026</t>
  </si>
  <si>
    <t>027839/2026</t>
  </si>
  <si>
    <t>72031.005809/2026-19</t>
  </si>
  <si>
    <t>Zé Vitor</t>
  </si>
  <si>
    <t>(83) 99649-0180</t>
  </si>
  <si>
    <t>gabinetedaprefeita@conde.pb.gov.br</t>
  </si>
  <si>
    <t xml:space="preserve">pedi para ajustarem o atestado de capacidade tecnica </t>
  </si>
  <si>
    <t>(34) 99953-3941</t>
  </si>
  <si>
    <t xml:space="preserve">MUNICIPIO DE TRAJANO DE MORAIS </t>
  </si>
  <si>
    <t>atendimento@ademinas.com.br</t>
  </si>
  <si>
    <t>ABRASOCIAL ASSOCIACAO BRASILEIRA SERVICOS SOCIAIS - CGTURES</t>
  </si>
  <si>
    <t>Convênio nº 981834/2025</t>
  </si>
  <si>
    <t>Termo de Fomento nº 999084/2026</t>
  </si>
  <si>
    <t>046999/2025</t>
  </si>
  <si>
    <t>011309/2026</t>
  </si>
  <si>
    <t>72031.007737/2025-63</t>
  </si>
  <si>
    <t>72031.005102/2026-11</t>
  </si>
  <si>
    <t>IMPLEMENTAÇÃO DE PROGRAMA DE QUALIFICAÇÃO PROFISSIONAL AOS PROFISSIONAIS DE ATENDIMENTO DO RIO DE JANEIRO</t>
  </si>
  <si>
    <t>Marcelo Crivella</t>
  </si>
  <si>
    <t>Dani Cunha</t>
  </si>
  <si>
    <t>Em Complementação</t>
  </si>
  <si>
    <t>(21) 97928-6967</t>
  </si>
  <si>
    <t>clmreis.2023@gmail.com</t>
  </si>
  <si>
    <t>INSTITUTO SOMAR SOLUÇAO BRASIL</t>
  </si>
  <si>
    <t>(22) 2564-1115</t>
  </si>
  <si>
    <t>Termo de Fomento nº 7AAEOA/2026</t>
  </si>
  <si>
    <t>gmc@trajanodemoraes.rj.gov.br</t>
  </si>
  <si>
    <t>031236/2026</t>
  </si>
  <si>
    <t>72031.007850/2026-20</t>
  </si>
  <si>
    <t>MUNICIPIO DE CAPELA</t>
  </si>
  <si>
    <t>Convênio nº 981970/2025</t>
  </si>
  <si>
    <t>053406/2025</t>
  </si>
  <si>
    <t>72031.007719/2025-81</t>
  </si>
  <si>
    <t>Realização de cursos de qualificação profissional voltados a prestadores de serviços turísticos, no município de Capela/SE.</t>
  </si>
  <si>
    <t>Pedro Lucas Fernandes/Dep Yandra</t>
  </si>
  <si>
    <t>Enviado para analise</t>
  </si>
  <si>
    <t>TIAGO MENDES ESTÁ ANALISANDO</t>
  </si>
  <si>
    <t>(79) 99889-8295</t>
  </si>
  <si>
    <t>gabinete@capela.se.gov.br</t>
  </si>
  <si>
    <t>SECRETARIA DO DESENVOLVIMENTO ECONOMICO -  Luzilândia/PI</t>
  </si>
  <si>
    <t>PI</t>
  </si>
  <si>
    <t>Convênio nº 981840/2025</t>
  </si>
  <si>
    <t>055620/2025</t>
  </si>
  <si>
    <t>72031.008914/2025-29</t>
  </si>
  <si>
    <t>Realização de Cursos de Qualificação Profissional Voltados a Prestadores de Serviços Turísticos no Município de Luzilândia – PI.</t>
  </si>
  <si>
    <t>Florentino Neto</t>
  </si>
  <si>
    <t>FALTA CGFC PUBLICAR O TA</t>
  </si>
  <si>
    <t>(86) 98858-1816</t>
  </si>
  <si>
    <t>sde@sde.pi.gov.br</t>
  </si>
  <si>
    <t>ESTADO DO ACRE</t>
  </si>
  <si>
    <t>AC</t>
  </si>
  <si>
    <t>Convênio nº 984749/2025</t>
  </si>
  <si>
    <t>062060/2025</t>
  </si>
  <si>
    <t>72031.009977/2025-01</t>
  </si>
  <si>
    <t>Realização de cursos de qualificação profissional voltados aos prestadores de serviços turísticos, promovendo a melhoria da qualidade dos serviços, a valorização da cultura local, a geração de emprego e renda e o fortalecimento da competitividade do destino Acre.</t>
  </si>
  <si>
    <t>Eduardo Velloso</t>
  </si>
  <si>
    <t>FALTA O PROPONENTE AJUSTAR O PT</t>
  </si>
  <si>
    <t>(22) 99738-1433</t>
  </si>
  <si>
    <t>aldelice.souza@ac.gov.br</t>
  </si>
  <si>
    <t>MUNICÍPIO DE ITALVA</t>
  </si>
  <si>
    <t>Convênio nº 982182/2025</t>
  </si>
  <si>
    <t>058330/2025</t>
  </si>
  <si>
    <t>72031.009016/2025-98</t>
  </si>
  <si>
    <t>Realização de cursos de qualificação profissional voltados aos prestadores de serviços turísticos no Município de Italva/RJ.</t>
  </si>
  <si>
    <t>Marcos Soares</t>
  </si>
  <si>
    <t>Empresa Estadual de Turismo do Amazonas</t>
  </si>
  <si>
    <t>con.conveniositalva@gmail.com</t>
  </si>
  <si>
    <t>Convênio nº 981882/2025</t>
  </si>
  <si>
    <t>MUNICIPIO DE CAREIRO</t>
  </si>
  <si>
    <t>AM</t>
  </si>
  <si>
    <t>Convênio nº 982173/2025</t>
  </si>
  <si>
    <t>046967/2025</t>
  </si>
  <si>
    <t>72031.007739/2025-52</t>
  </si>
  <si>
    <t>Realização de cursos de qualificação profissional voltados a prestadores de serviços turísticos do município de Careiro/AM.</t>
  </si>
  <si>
    <t>Pauderney Avelino</t>
  </si>
  <si>
    <t>FALTA CADASTRAR O TA</t>
  </si>
  <si>
    <t>(92) 99344-9190</t>
  </si>
  <si>
    <t>pref.careiro@hotmail.com</t>
  </si>
  <si>
    <t>MUNICIPIO DE TIBAU DO SUL</t>
  </si>
  <si>
    <t>Convênio nº 981972/2025</t>
  </si>
  <si>
    <t>048276/2025</t>
  </si>
  <si>
    <t>72031.007727/2025-28</t>
  </si>
  <si>
    <t>PROMOVER A QUALIFICAÇÃO PROFISSIONAL NO MUNICÍPIO DE TIBAU DO SUL-RN</t>
  </si>
  <si>
    <t>Benes Leocádio</t>
  </si>
  <si>
    <t>Convênio nº 981733/2025</t>
  </si>
  <si>
    <t>MUNICIPIO DE CANINDE DE SAO FRANCISCO</t>
  </si>
  <si>
    <t>(84) 98839-0730</t>
  </si>
  <si>
    <t>seturtibaudosul@gmail.com</t>
  </si>
  <si>
    <t>MUNICIPIO DE NILOPOLIS</t>
  </si>
  <si>
    <t>Convênio nº 982154/2025</t>
  </si>
  <si>
    <t>048504/2025</t>
  </si>
  <si>
    <t>72031.007723/2025-40</t>
  </si>
  <si>
    <t>Promover a qualificação profissional da população de Nilópolis e adjacências, ampliando as oportunidades de inserção produtiva e contribuindo para o desenvolvimento sustentável do turismo na Região Turística Baixada Verde.</t>
  </si>
  <si>
    <t>Ricardo Abrão</t>
  </si>
  <si>
    <t>FUNDACAO WALL FERRAZ</t>
  </si>
  <si>
    <t>(22) 99765-0323</t>
  </si>
  <si>
    <t>Convênio nº 981951/2025</t>
  </si>
  <si>
    <t>abraaodavid@nilopolis.rj.gov.br</t>
  </si>
  <si>
    <t>048648/2025</t>
  </si>
  <si>
    <t>72031.007722/2025-03</t>
  </si>
  <si>
    <t>Realização de cursos de qualificação profissional voltados a prestadores de serviços turísticos, com foco em hospitalidade, atendimento, sustentabilidade e inclusão.</t>
  </si>
  <si>
    <t>Convênio nº 981837/2025</t>
  </si>
  <si>
    <t>SECRETARIA DO DESENVOLVIMENTO ECONOMICO - Teresina/PI</t>
  </si>
  <si>
    <t>(79) 9922-1220</t>
  </si>
  <si>
    <t>randerson@caninde.se.gov.br</t>
  </si>
  <si>
    <t>Convênio nº 981838/2025</t>
  </si>
  <si>
    <t>MUNICIPIO DE SOBRAL</t>
  </si>
  <si>
    <t>SECRETARIA DO DESENVOLVIMENTO ECONOMICO - Parnaíba/PI</t>
  </si>
  <si>
    <t>Convênio nº 982143/2025</t>
  </si>
  <si>
    <t>056109/2025</t>
  </si>
  <si>
    <t>72031.008756/2025-15</t>
  </si>
  <si>
    <t xml:space="preserve">Realizar cursos de qualificação profissional voltados a prestadores de serviços turísticos em Sobral - CE </t>
  </si>
  <si>
    <t>Moses Rodrigues</t>
  </si>
  <si>
    <t>(88)99618-2204</t>
  </si>
  <si>
    <t>carlosamaral@sobral.ce.gov.br</t>
  </si>
  <si>
    <t>Convênio nº 982074/2025</t>
  </si>
  <si>
    <t>047412/2025</t>
  </si>
  <si>
    <t>72031.007733/2025-85</t>
  </si>
  <si>
    <t>Realização de cursos de qualificação profissional voltados à cadeia produtiva do turismo de Sobral - CE.</t>
  </si>
  <si>
    <t>MUNICIPIO DE GUARAREMA - CGTURES</t>
  </si>
  <si>
    <t>Convênio nº 982171/2025</t>
  </si>
  <si>
    <t>CGUTRES TA FAZENDO O TERMO  ADITIVO</t>
  </si>
  <si>
    <t xml:space="preserve">TA PUBLICADO </t>
  </si>
  <si>
    <t>(88) 3677-1100
(88)99618-2204</t>
  </si>
  <si>
    <t>Convênio nº 981933/2025</t>
  </si>
  <si>
    <t>SECRETARIA DE ESTADO DE ASSISTENCIA SOCIAL,TRABALHO,EMPREGO E RENDA (SEASTER-PA)</t>
  </si>
  <si>
    <t>MUNICIPIO DE IAÇU</t>
  </si>
  <si>
    <t>BA</t>
  </si>
  <si>
    <t>Convênio nº 982032/2025</t>
  </si>
  <si>
    <t>048766/2025</t>
  </si>
  <si>
    <t>72031.007721/2025-51</t>
  </si>
  <si>
    <t>AGUARDANDO AJUSTES NO TGOV PELO PROPONENTE</t>
  </si>
  <si>
    <t>(75) 98238-4540</t>
  </si>
  <si>
    <t>gabineteiacu21@gmail.com</t>
  </si>
  <si>
    <t>055573/2025</t>
  </si>
  <si>
    <t>72031.008918/2025-15</t>
  </si>
  <si>
    <t>Realização de Cursos de Qualificação Profissional Voltados a Prestadores de Serviços Turísticos no Município de Teresina – PI.</t>
  </si>
  <si>
    <t>Convênio nº 982176/2025</t>
  </si>
  <si>
    <t>046938/2025</t>
  </si>
  <si>
    <t>72031.007587/2025-98</t>
  </si>
  <si>
    <t>Realização de cursos de qualificação profissional para prestadores de serviços turísticos no Estado do Pará.</t>
  </si>
  <si>
    <t>048072/2025</t>
  </si>
  <si>
    <t>72031.007729/2025-17</t>
  </si>
  <si>
    <t>Realização de cursos de qualificação profissional voltados a gestores públicos, trabalhadores e gestores do setor turístico.</t>
  </si>
  <si>
    <t>Fausto Santos Jr.</t>
  </si>
  <si>
    <t xml:space="preserve">(92) 98112-0362 </t>
  </si>
  <si>
    <t>convenios@amazonastur.am.gov.br</t>
  </si>
  <si>
    <t>055597/2025</t>
  </si>
  <si>
    <t>72031.008917/2025-62</t>
  </si>
  <si>
    <t>Realização de Cursos de Qualificação Profissional Voltados a Prestadores de Serviços Turísticos no Município de Parnaíba – PI.</t>
  </si>
  <si>
    <t>Total geral</t>
  </si>
  <si>
    <t>058243/2025</t>
  </si>
  <si>
    <t>72031.008951/2025-37</t>
  </si>
  <si>
    <t>Teresina Cidade Verde: qualificar e capacitar para conectar e fortalecer as rotas turísticas</t>
  </si>
  <si>
    <t>Julio Arcoverde</t>
  </si>
  <si>
    <t>(86) 99576-3845</t>
  </si>
  <si>
    <t>fwf@pmt.pi.gov.br</t>
  </si>
  <si>
    <t>48483/2025</t>
  </si>
  <si>
    <t>72031.007724/2025-94</t>
  </si>
  <si>
    <t>Dilvanda Faro</t>
  </si>
  <si>
    <t>AJUSTES AUTORIZADOS, AGUARDANDO PROPONENTE REALIZAR</t>
  </si>
  <si>
    <t>(94) 9134-9966</t>
  </si>
  <si>
    <t>seasterpa@yahoo.com.br</t>
  </si>
  <si>
    <t xml:space="preserve"> SP</t>
  </si>
  <si>
    <t>047176/2025</t>
  </si>
  <si>
    <t>72031.007735/2025-74</t>
  </si>
  <si>
    <t>Elaboração de Projeto Piloto de Adaptação do Turismo às Mudanças Climáticas em Guararema-SP.</t>
  </si>
  <si>
    <t>Deputado Federal David Soares</t>
  </si>
  <si>
    <t>(11) 4693-8000</t>
  </si>
  <si>
    <t>claudia.borges@guararema.sp.gov.br</t>
  </si>
  <si>
    <t>SERVICO NACIONAL DE APRENDIZAGEM COMERCIAL - SENAC - AR/RN</t>
  </si>
  <si>
    <t>Convênio nº 978164/2025</t>
  </si>
  <si>
    <t>026461/2025</t>
  </si>
  <si>
    <t>72031.004919/2025-82</t>
  </si>
  <si>
    <t>Desenvolvimento do turismo no interior do Rio Grande do Norte, oportunizando a sustentabilidade turística, impulsionando o crescimento econômico, inclusivo e sustentável, do turismo e da cultura, por meio de ações qualificação para formação do trade turístico e da comunidade, visando aumentar o fluxo turístico e a redução do desemprego com a interiorização do turismo nos municípios.</t>
  </si>
  <si>
    <t xml:space="preserve"> (84) 99152-8548</t>
  </si>
  <si>
    <t>MUNICIPIO DE MARTINOPOLE</t>
  </si>
  <si>
    <t>Convênio nº 994695/2026</t>
  </si>
  <si>
    <t>016094/2026</t>
  </si>
  <si>
    <t>72031.003111/2026-69</t>
  </si>
  <si>
    <t>Realização de cursos de qualificação profissional voltados a cadeia produtiva do turismo de Martinópole</t>
  </si>
  <si>
    <t>EM EXECUÇÃO</t>
  </si>
  <si>
    <t xml:space="preserve">Falta contrapartida e processo licitatório </t>
  </si>
  <si>
    <t>(88) 3627-1300</t>
  </si>
  <si>
    <t>pmmartinopole@gmail.com</t>
  </si>
  <si>
    <t>MUNICIPIO DE UMIRIM</t>
  </si>
  <si>
    <t>Convênio nº 994697/2026</t>
  </si>
  <si>
    <t>016277/2026</t>
  </si>
  <si>
    <t>72031.003167/2026-13</t>
  </si>
  <si>
    <t>(85) 99807-5926</t>
  </si>
  <si>
    <t>prefeitura.umirim@yahoo.com</t>
  </si>
  <si>
    <t>SECRETARIA DE ESTADO DO TURISMO E DO DESENVOLVIMENTO ECONOMICO - Paraiba/PB</t>
  </si>
  <si>
    <t>Convênio nº 994933/2026</t>
  </si>
  <si>
    <t>016757/2026</t>
  </si>
  <si>
    <t>72031.003282/2026-98</t>
  </si>
  <si>
    <t>Qualificação profissional e fortalecimento da gestão empresarial no setor turístico do Estado da Paraíba, por meio da execução descentralizada de cursos, oficinas, formações técnicas e consultorias, em parceria com o Instituto Federal da Paraíba (IFPB), o Serviço de Apoio às Micro e Pequenas Empresas (SEBRAE/PB) e o Serviço Nacional do Aprendizagem Comercial (SENAC/PB).</t>
  </si>
  <si>
    <t xml:space="preserve">ESTADO DO MARANHÃO - SECRETARIA DE ESTADO DO DESENVOLVIMENTO SOCIAL </t>
  </si>
  <si>
    <t>Convênio nº 7AABQQ/2026</t>
  </si>
  <si>
    <t>Apresentarem documentos na aba anexos</t>
  </si>
  <si>
    <t>Não apresentaram o processo licitatório</t>
  </si>
  <si>
    <t>(83) 99140-2899</t>
  </si>
  <si>
    <t>rosalia.lucas@setde.pb.gov.br</t>
  </si>
  <si>
    <t>Convênio nº 7AAAMY/2026</t>
  </si>
  <si>
    <t>MUNICÍPIO DE BAIA FORMOSA</t>
  </si>
  <si>
    <t>029175/2026</t>
  </si>
  <si>
    <t>72031.006356/2026-48</t>
  </si>
  <si>
    <t>Promover a qualificação profissional, a inclusão produtiva e a empregabilidade de beneficiários do Programa Maranhão Livre da Fome, pessoas inscritas no Cadastro Único para Programas Sociais do Governo Federal (CadÚnico), trabalhadores e empreendedores da cadeia produtiva do turismo, por meio da oferta de cursos de formação profissional, ações de empreendedorismo, consultorias especializadas e mecanismos de inserção no mercado de trabalho, contribuindo para a geração de emprego e renda, o fortalecimento dos pequenos negócios turísticos, a melhoria da qualidade dos serviços ofertados e o desenvolvimento sustentável dos destinos turísticos do Estado do Maranhão.</t>
  </si>
  <si>
    <t>EM COMPLEMENTAÇÃO</t>
  </si>
  <si>
    <t>Convênio nº 7AADYR/2026</t>
  </si>
  <si>
    <t>MUNICIPIO DE NISIA FLORESTA</t>
  </si>
  <si>
    <t>(98) 2016-9200</t>
  </si>
  <si>
    <t>gabsedes.ma@gmail.com</t>
  </si>
  <si>
    <t>010275/2026</t>
  </si>
  <si>
    <t>72031.004566/2026-00</t>
  </si>
  <si>
    <t>Realizar cursos de qualificação profissional voltados a prestadores de serviços turísticos e a comunidade, oportunizando o desenvolvimento do turismo local, a sustentabilidade turística, impulsionando o crescimento econômico, inclusivo e sustentável, do turismo e da cultura, do estado do Rio Grande do Norte.</t>
  </si>
  <si>
    <t>026609/2026</t>
  </si>
  <si>
    <t>72031.007272/2026-21</t>
  </si>
  <si>
    <t>Capacitação e Qualificação para o setor de Turismo em Nísia Floresta/RN</t>
  </si>
  <si>
    <t>(84) 98167-7071</t>
  </si>
  <si>
    <t>prefeito@nisiafloresta.rn.gov.br</t>
  </si>
  <si>
    <t>034396/2026</t>
  </si>
  <si>
    <t>72031.008655/2026-17</t>
  </si>
  <si>
    <t>NÃO CADASTRADO</t>
  </si>
  <si>
    <t>Status</t>
  </si>
  <si>
    <t>Valor Total do Plano de Ação</t>
  </si>
  <si>
    <t>Situação</t>
  </si>
  <si>
    <t>Observações</t>
  </si>
  <si>
    <t>INSTITUTO FEDERAL DO PIAUÍ</t>
  </si>
  <si>
    <t xml:space="preserve"> TED nº  987841/2025</t>
  </si>
  <si>
    <t>72031.009540/2025-69</t>
  </si>
  <si>
    <t>Em execução</t>
  </si>
  <si>
    <t>INSTITUTO FEDERAL DO PIAUÍ - CGST</t>
  </si>
  <si>
    <t xml:space="preserve"> TED nº 990795/2025</t>
  </si>
  <si>
    <t>72031.011729/2025-11</t>
  </si>
  <si>
    <t>Universidade Federal de Brasília</t>
  </si>
  <si>
    <t xml:space="preserve"> TED nº 985434/2025</t>
  </si>
  <si>
    <t>72031.003454/2025-42</t>
  </si>
  <si>
    <t>Saldo de R$ 502.240,00 aguardando indicação de recurso</t>
  </si>
  <si>
    <t>Instituto Federal de Educação, Ciência e Tecnologia do Maranhão</t>
  </si>
  <si>
    <t xml:space="preserve"> TED nº 988799/2025</t>
  </si>
  <si>
    <t>72031.009969/2025-56</t>
  </si>
  <si>
    <t>Valor Global - VALOR MTUR + CONTRAPARTIDA</t>
  </si>
  <si>
    <t>Valor do Empenho - REPASSE MTUR</t>
  </si>
  <si>
    <t>% Valor já repassado</t>
  </si>
  <si>
    <t>SECRETARIA DE ESTADO DE TURISMO</t>
  </si>
  <si>
    <t>Resumo de Convênios - 2025</t>
  </si>
  <si>
    <t>SECRETARIA DE ESTADO DE ASSISTENCIA SOCIAL,TRABALHO,EMPREGO E RENDA</t>
  </si>
  <si>
    <t>Quantitativo</t>
  </si>
  <si>
    <t>Percentual</t>
  </si>
  <si>
    <t>Quantitativo de Convênios Celebrados 2025</t>
  </si>
  <si>
    <t>Celebrado?</t>
  </si>
  <si>
    <t xml:space="preserve"> 057787/2025</t>
  </si>
  <si>
    <t>CELEBRADO</t>
  </si>
  <si>
    <t>sem clausula suspensiva</t>
  </si>
  <si>
    <t>sem aditivo</t>
  </si>
  <si>
    <t>Resumo de Convênios - 2026</t>
  </si>
  <si>
    <t>Saiu da Cláusula Suspensiva</t>
  </si>
  <si>
    <t>Quantitativo de Convênios  2026</t>
  </si>
  <si>
    <t>Está na Cláusula Suspensiva</t>
  </si>
  <si>
    <t>NÃO CELEBRADO</t>
  </si>
  <si>
    <t>-</t>
  </si>
  <si>
    <t>Celebrado em 2026</t>
  </si>
  <si>
    <t>Termo Aditivo Assinado</t>
  </si>
  <si>
    <t>Pendente de Celebração em 2026</t>
  </si>
  <si>
    <t>Termo Aditivo não Assinado</t>
  </si>
  <si>
    <t>Valor total Comprometido (Empenhado+Não Empenhado)</t>
  </si>
  <si>
    <t>Valor total Empenhado</t>
  </si>
  <si>
    <t>Valor a Empenhar</t>
  </si>
  <si>
    <t>Valor total de Repasse (MTur)</t>
  </si>
  <si>
    <t>Total empenhado mas não repassado</t>
  </si>
  <si>
    <t>Termo de Fomento s/n</t>
  </si>
  <si>
    <t>Convênio nº 982074/2025</t>
  </si>
  <si>
    <t>Resumo de Termos de Fomento - 2026</t>
  </si>
  <si>
    <t>Resumo de Termos de Fomento - 2025</t>
  </si>
  <si>
    <t>Convênio nº 982143/2025</t>
  </si>
  <si>
    <t>Quantitativo de Fomentos Celebrados 2025</t>
  </si>
  <si>
    <t>Quantitativo de Fomentos  2026</t>
  </si>
  <si>
    <t>Saiu das Ressalvas</t>
  </si>
  <si>
    <t xml:space="preserve"> </t>
  </si>
  <si>
    <t>Não Saiu das Ressalvas</t>
  </si>
  <si>
    <t>Resumo de TEDs - 2025</t>
  </si>
  <si>
    <t>Quantitativo de Teds Celebrados 2025</t>
  </si>
  <si>
    <t>TEDs em Execução</t>
  </si>
  <si>
    <t>TEDs Paralisados</t>
  </si>
  <si>
    <t>Total celebrado empenhado</t>
  </si>
  <si>
    <t>A diferença de R$ 502.240,00 (1,90%) corresponde ao valor empenhado do TED nº 985434/2025 com a Universidade Federal de Brasília - UnB, esta aguardando indicação de recurso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</si>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</sst>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_([$R$ -416]* #,##0.00_);_([$R$ -416]* \(#,##0.00\);_([$R$ -416]* &quot;-&quot;??_);_(@_)"/>
    <numFmt numFmtId="167" formatCode="dd/MM/yyyy"/>
    <numFmt numFmtId="168" formatCode="#,##0.00;(#,##0.00)"/>
  </numFmts>
  <fonts count="13">
    <font>
      <sz val="10.0"/>
      <color rgb="FF000000"/>
      <name val="Verdana"/>
      <scheme val="minor"/>
    </font>
    <font>
      <b/>
      <color rgb="FF000000"/>
      <name val="Verdana"/>
      <scheme val="minor"/>
    </font>
    <font/>
    <font>
      <b/>
      <color theme="1"/>
      <name val="Verdana"/>
      <scheme val="minor"/>
    </font>
    <font>
      <color theme="1"/>
      <name val="Verdana"/>
      <scheme val="minor"/>
    </font>
    <font>
      <sz val="10.0"/>
      <color theme="1"/>
      <name val="Verdana"/>
      <scheme val="minor"/>
    </font>
    <font>
      <color theme="1"/>
      <name val="Verdana"/>
    </font>
    <font>
      <sz val="11.0"/>
      <color theme="1"/>
      <name val="Verdana"/>
      <scheme val="minor"/>
    </font>
    <font>
      <b/>
      <color theme="1"/>
      <name val="Arial"/>
    </font>
    <font>
      <color theme="1"/>
      <name val="Arial"/>
    </font>
    <font>
      <b/>
      <sz val="11.0"/>
      <color rgb="FFFFFFFF"/>
      <name val="Verdana"/>
      <scheme val="minor"/>
    </font>
    <font>
      <b/>
      <color rgb="FFFFFFFF"/>
      <name val="&quot;Google Sans Text&quot;"/>
    </font>
    <font>
      <color theme="1"/>
      <name val="&quot;Google Sans Text&quot;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274E13"/>
        <bgColor rgb="FF274E13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0C343D"/>
        <bgColor rgb="FF0C343D"/>
      </patternFill>
    </fill>
    <fill>
      <patternFill patternType="solid">
        <fgColor rgb="FF7F6000"/>
        <bgColor rgb="FF7F6000"/>
      </patternFill>
    </fill>
    <fill>
      <patternFill patternType="solid">
        <fgColor rgb="FF073763"/>
        <bgColor rgb="FF073763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readingOrder="0"/>
    </xf>
    <xf borderId="4" fillId="3" fontId="3" numFmtId="0" xfId="0" applyAlignment="1" applyBorder="1" applyFill="1" applyFon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shrinkToFit="0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165" xfId="0" applyAlignment="1" applyBorder="1" applyFont="1" applyNumberFormat="1">
      <alignment horizontal="center" readingOrder="0" shrinkToFit="0" vertical="center" wrapText="1"/>
    </xf>
    <xf borderId="4" fillId="0" fontId="4" numFmtId="166" xfId="0" applyAlignment="1" applyBorder="1" applyFont="1" applyNumberFormat="1">
      <alignment readingOrder="0" shrinkToFit="0" vertical="center" wrapText="1"/>
    </xf>
    <xf borderId="4" fillId="0" fontId="4" numFmtId="166" xfId="0" applyAlignment="1" applyBorder="1" applyFont="1" applyNumberFormat="1">
      <alignment horizontal="center" readingOrder="0" shrinkToFit="0" vertical="center" wrapText="1"/>
    </xf>
    <xf borderId="5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4" fillId="0" fontId="4" numFmtId="0" xfId="0" applyBorder="1" applyFont="1"/>
    <xf borderId="4" fillId="0" fontId="4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/>
    </xf>
    <xf borderId="4" fillId="0" fontId="4" numFmtId="166" xfId="0" applyAlignment="1" applyBorder="1" applyFont="1" applyNumberFormat="1">
      <alignment shrinkToFit="0" vertical="center" wrapText="1"/>
    </xf>
    <xf borderId="0" fillId="0" fontId="4" numFmtId="0" xfId="0" applyFont="1"/>
    <xf borderId="4" fillId="0" fontId="3" numFmtId="0" xfId="0" applyBorder="1" applyFont="1"/>
    <xf borderId="4" fillId="4" fontId="4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readingOrder="0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0"/>
    </xf>
    <xf borderId="4" fillId="4" fontId="4" numFmtId="165" xfId="0" applyAlignment="1" applyBorder="1" applyFill="1" applyFont="1" applyNumberFormat="1">
      <alignment horizontal="center" readingOrder="0" shrinkToFit="0" vertical="center" wrapText="1"/>
    </xf>
    <xf borderId="4" fillId="4" fontId="4" numFmtId="166" xfId="0" applyAlignment="1" applyBorder="1" applyFill="1" applyFont="1" applyNumberFormat="1">
      <alignment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shrinkToFit="0" vertical="center" wrapText="1"/>
    </xf>
    <xf borderId="4" fillId="4" fontId="4" numFmtId="166" xfId="0" applyAlignment="1" applyBorder="1" applyFill="1" applyFont="1" applyNumberFormat="1">
      <alignment shrinkToFit="0" vertical="center" wrapText="1"/>
    </xf>
    <xf borderId="0" fillId="0" fontId="3" numFmtId="0" xfId="0" applyFont="1"/>
    <xf borderId="0" fillId="0" fontId="4" numFmtId="0" xfId="0" applyAlignment="1" applyFont="1">
      <alignment horizontal="center"/>
    </xf>
    <xf borderId="5" fillId="0" fontId="4" numFmtId="0" xfId="0" applyAlignment="1" applyBorder="1" applyFont="1">
      <alignment horizontal="center"/>
    </xf>
    <xf borderId="3" fillId="0" fontId="4" numFmtId="0" xfId="0" applyBorder="1" applyFont="1"/>
    <xf borderId="4" fillId="0" fontId="4" numFmtId="166" xfId="0" applyBorder="1" applyFont="1" applyNumberFormat="1"/>
    <xf borderId="4" fillId="0" fontId="4" numFmtId="0" xfId="0" applyAlignment="1" applyBorder="1" applyFont="1">
      <alignment horizontal="left"/>
    </xf>
    <xf borderId="4" fillId="0" fontId="4" numFmtId="164" xfId="0" applyAlignment="1" applyBorder="1" applyFont="1" applyNumberFormat="1">
      <alignment horizontal="center"/>
    </xf>
    <xf borderId="4" fillId="0" fontId="4" numFmtId="165" xfId="0" applyAlignment="1" applyBorder="1" applyFont="1" applyNumberFormat="1">
      <alignment horizontal="center"/>
    </xf>
    <xf borderId="6" fillId="0" fontId="4" numFmtId="0" xfId="0" applyBorder="1" applyFont="1"/>
    <xf borderId="7" fillId="0" fontId="4" numFmtId="0" xfId="0" applyAlignment="1" applyBorder="1" applyFont="1">
      <alignment horizontal="center"/>
    </xf>
    <xf borderId="4" fillId="0" fontId="4" numFmtId="167" xfId="0" applyAlignment="1" applyBorder="1" applyFont="1" applyNumberFormat="1">
      <alignment horizontal="center"/>
    </xf>
    <xf borderId="8" fillId="0" fontId="4" numFmtId="0" xfId="0" applyBorder="1" applyFont="1"/>
    <xf borderId="7" fillId="0" fontId="4" numFmtId="0" xfId="0" applyBorder="1" applyFont="1"/>
    <xf borderId="3" fillId="0" fontId="4" numFmtId="0" xfId="0" applyAlignment="1" applyBorder="1" applyFont="1">
      <alignment horizontal="left"/>
    </xf>
    <xf borderId="9" fillId="0" fontId="4" numFmtId="0" xfId="0" applyAlignment="1" applyBorder="1" applyFont="1">
      <alignment horizontal="center"/>
    </xf>
    <xf borderId="9" fillId="0" fontId="4" numFmtId="0" xfId="0" applyBorder="1" applyFont="1"/>
    <xf borderId="5" fillId="0" fontId="4" numFmtId="0" xfId="0" applyBorder="1" applyFont="1"/>
    <xf borderId="4" fillId="0" fontId="5" numFmtId="0" xfId="0" applyAlignment="1" applyBorder="1" applyFont="1">
      <alignment readingOrder="0" shrinkToFit="0" vertical="center" wrapText="1"/>
    </xf>
    <xf borderId="10" fillId="0" fontId="4" numFmtId="0" xfId="0" applyBorder="1" applyFont="1"/>
    <xf borderId="4" fillId="0" fontId="6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center" vertical="center"/>
    </xf>
    <xf borderId="0" fillId="0" fontId="4" numFmtId="166" xfId="0" applyFont="1" applyNumberFormat="1"/>
    <xf borderId="0" fillId="0" fontId="4" numFmtId="165" xfId="0" applyFont="1" applyNumberFormat="1"/>
    <xf borderId="0" fillId="0" fontId="7" numFmtId="0" xfId="0" applyFont="1"/>
    <xf borderId="0" fillId="0" fontId="4" numFmtId="164" xfId="0" applyFont="1" applyNumberFormat="1"/>
    <xf borderId="1" fillId="2" fontId="8" numFmtId="0" xfId="0" applyAlignment="1" applyBorder="1" applyFill="1" applyFont="1">
      <alignment horizontal="center" vertical="bottom"/>
    </xf>
    <xf borderId="4" fillId="2" fontId="8" numFmtId="0" xfId="0" applyAlignment="1" applyBorder="1" applyFill="1" applyFont="1">
      <alignment horizontal="center" vertical="bottom"/>
    </xf>
    <xf borderId="4" fillId="3" fontId="8" numFmtId="0" xfId="0" applyAlignment="1" applyBorder="1" applyFill="1" applyFont="1">
      <alignment horizontal="center" shrinkToFit="0" vertical="center" wrapText="1"/>
    </xf>
    <xf borderId="4" fillId="0" fontId="4" numFmtId="10" xfId="0" applyAlignment="1" applyBorder="1" applyFont="1" applyNumberFormat="1">
      <alignment horizontal="center" readingOrder="0" shrinkToFit="0" vertical="center" wrapText="1"/>
    </xf>
    <xf borderId="0" fillId="0" fontId="4" numFmtId="10" xfId="0" applyFont="1" applyNumberFormat="1"/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0" fontId="9" numFmtId="166" xfId="0" applyAlignment="1" applyBorder="1" applyFont="1" applyNumberForma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vertical="center"/>
    </xf>
    <xf borderId="4" fillId="6" fontId="9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 vertical="center"/>
    </xf>
    <xf borderId="4" fillId="0" fontId="9" numFmtId="166" xfId="0" applyAlignment="1" applyBorder="1" applyFont="1" applyNumberFormat="1">
      <alignment horizontal="right" shrinkToFit="0" vertical="center" wrapText="1"/>
    </xf>
    <xf borderId="4" fillId="0" fontId="4" numFmtId="0" xfId="0" applyAlignment="1" applyBorder="1" applyFont="1">
      <alignment horizontal="center" vertical="center"/>
    </xf>
    <xf borderId="4" fillId="0" fontId="4" numFmtId="10" xfId="0" applyAlignment="1" applyBorder="1" applyFont="1" applyNumberFormat="1">
      <alignment horizontal="center" vertical="center"/>
    </xf>
    <xf borderId="4" fillId="0" fontId="4" numFmtId="168" xfId="0" applyAlignment="1" applyBorder="1" applyFont="1" applyNumberFormat="1">
      <alignment horizontal="center" readingOrder="0" shrinkToFit="0" vertical="center" wrapText="1"/>
    </xf>
    <xf borderId="4" fillId="0" fontId="4" numFmtId="166" xfId="0" applyAlignment="1" applyBorder="1" applyFont="1" applyNumberFormat="1">
      <alignment horizontal="center" vertical="center"/>
    </xf>
    <xf borderId="4" fillId="3" fontId="3" numFmtId="166" xfId="0" applyAlignment="1" applyBorder="1" applyFill="1" applyFont="1" applyNumberFormat="1">
      <alignment horizontal="center" readingOrder="0" shrinkToFit="0" vertical="center" wrapText="1"/>
    </xf>
    <xf borderId="5" fillId="0" fontId="4" numFmtId="10" xfId="0" applyAlignment="1" applyBorder="1" applyFont="1" applyNumberFormat="1">
      <alignment horizontal="center" vertical="center"/>
    </xf>
    <xf borderId="1" fillId="8" fontId="10" numFmtId="0" xfId="0" applyAlignment="1" applyBorder="1" applyFill="1" applyFont="1">
      <alignment horizontal="center" readingOrder="0" vertical="center"/>
    </xf>
    <xf borderId="4" fillId="8" fontId="10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1" fillId="9" fontId="10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left" readingOrder="0" shrinkToFit="0" wrapText="1"/>
    </xf>
    <xf borderId="4" fillId="10" fontId="11" numFmtId="0" xfId="0" applyAlignment="1" applyBorder="1" applyFill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4" fillId="0" fontId="12" numFmtId="166" xfId="0" applyAlignment="1" applyBorder="1" applyFont="1" applyNumberFormat="1">
      <alignment readingOrder="0"/>
    </xf>
  </cellXfs>
  <cellStyles count="1">
    <cellStyle xfId="0" name="Normal" builtinId="0"/>
  </cellStyles>
  <dxfs count="11">
    <dxf>
      <font>
        <b/>
      </font>
      <fill>
        <patternFill patternType="solid">
          <fgColor rgb="FFF6B26B"/>
          <bgColor rgb="FFF6B26B"/>
        </patternFill>
      </fill>
      <border/>
    </dxf>
    <dxf>
      <font>
        <b/>
      </font>
      <fill>
        <patternFill patternType="solid">
          <fgColor rgb="FF93C47D"/>
          <bgColor rgb="FF93C47D"/>
        </patternFill>
      </fill>
      <border/>
    </dxf>
    <dxf>
      <font>
        <b/>
      </font>
      <fill>
        <patternFill patternType="solid">
          <fgColor rgb="FF6D9EEB"/>
          <bgColor rgb="FF6D9EEB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>
        <b/>
      </font>
      <fill>
        <patternFill patternType="solid">
          <fgColor rgb="FF9FC5E8"/>
          <bgColor rgb="FF9FC5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4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T100" sheet="Convênios"/>
  </cacheSource>
  <cacheFields>
    <cacheField name="Ano" numFmtId="0">
      <sharedItems containsString="0" containsBlank="1" containsNumber="1" containsInteger="1">
        <n v="2024.0"/>
        <n v="2025.0"/>
        <n v="2026.0"/>
        <m/>
      </sharedItems>
    </cacheField>
    <cacheField name="Nome do proponente" numFmtId="0">
      <sharedItems containsBlank="1">
        <s v="Secretaria Estadual de Turismo do Rio Grande do Norte  (SETUR-RN)"/>
        <s v="Serviço Nacional de Aprendizagem Comercial do Rio Grande do Norte (SENAC-RN)"/>
        <s v="SERVICO DE APOIO AS MICRO E PEQUENAS EMPRESAS DE SE (SEBRAE)"/>
        <s v="SECRETARIA DE ESTADO DE TURISMO (SETUR-PA)"/>
        <s v="MUNICIPIO DE WENCESLAU GUIMARAES"/>
        <s v="MUNICIPIO DE PORANGATU"/>
        <s v="MUNICIPIO DE NATAL"/>
        <s v="MUNICÍPIO DO CONDE"/>
        <s v="MUNICIPIO DE TRAJANO DE MORAIS "/>
        <s v="MUNICIPIO DE CAPELA"/>
        <s v="SECRETARIA DO DESENVOLVIMENTO ECONOMICO -  Luzilândia/PI"/>
        <s v="ESTADO DO ACRE"/>
        <s v="MUNICÍPIO DE ITALVA"/>
        <s v="MUNICIPIO DE CAREIRO"/>
        <s v="MUNICIPIO DE TIBAU DO SUL"/>
        <s v="MUNICIPIO DE NILOPOLIS"/>
        <s v="MUNICIPIO DE CANINDE DE SAO FRANCISCO"/>
        <s v="MUNICIPIO DE SOBRAL"/>
        <s v="MUNICIPIO DE IAÇU"/>
        <s v="SECRETARIA DO DESENVOLVIMENTO ECONOMICO - Teresina/PI"/>
        <s v="Empresa Estadual de Turismo do Amazonas"/>
        <s v="SECRETARIA DO DESENVOLVIMENTO ECONOMICO - Parnaíba/PI"/>
        <s v="FUNDACAO WALL FERRAZ"/>
        <s v="SECRETARIA DE ESTADO DE ASSISTENCIA SOCIAL,TRABALHO,EMPREGO E RENDA (SEASTER-PA)"/>
        <s v="MUNICIPIO DE GUARAREMA - CGTURES"/>
        <s v="SERVICO NACIONAL DE APRENDIZAGEM COMERCIAL - SENAC - AR/RN"/>
        <s v="MUNICIPIO DE MARTINOPOLE"/>
        <s v="MUNICIPIO DE UMIRIM"/>
        <s v="SECRETARIA DE ESTADO DO TURISMO E DO DESENVOLVIMENTO ECONOMICO - Paraiba/PB"/>
        <s v="ESTADO DO MARANHÃO - SECRETARIA DE ESTADO DO DESENVOLVIMENTO SOCIAL "/>
        <s v="MUNICIPIO DE NISIA FLORESTA"/>
        <s v="MUNICÍPIO DE BAIA FORMOSA"/>
        <m/>
      </sharedItems>
    </cacheField>
    <cacheField name="UF do Proponente" numFmtId="0">
      <sharedItems containsBlank="1">
        <s v="RN"/>
        <s v="SE"/>
        <s v="PA"/>
        <s v="GO"/>
        <s v="PB"/>
        <s v="RJ"/>
        <s v="PI"/>
        <s v="AC"/>
        <s v="AM"/>
        <s v="CE"/>
        <s v="BA"/>
        <s v=" SP"/>
        <s v="MA"/>
        <m/>
      </sharedItems>
    </cacheField>
    <cacheField name="Instrumento" numFmtId="0">
      <sharedItems containsBlank="1">
        <s v="Convênio nº 970061/2024"/>
        <s v="Convênio nº 970093/2024"/>
        <s v="Convênio nº 970062/2024"/>
        <s v="Convênio nº 969365/2024"/>
        <s v="Convênio nº 982062/2025"/>
        <s v="Convênio nº 981938/2025"/>
        <s v="Convênio nº 988080/2025"/>
        <s v="Convênio nº 982177/2025"/>
        <s v="Convênio nº 981834/2025"/>
        <s v="Convênio nº 981970/2025"/>
        <s v="Convênio nº 981840/2025"/>
        <s v="Convênio nº 984749/2025"/>
        <s v="Convênio nº 982182/2025"/>
        <s v="Convênio nº 982173/2025"/>
        <s v="Convênio nº 981972/2025"/>
        <s v="Convênio nº 982154/2025"/>
        <s v="Convênio nº 981733/2025"/>
        <s v="Convênio nº 982143/2025"/>
        <s v="Convênio nº 982074/2025"/>
        <s v="Convênio nº 982032/2025"/>
        <s v="Convênio nº 981837/2025"/>
        <s v="Convênio nº 982176/2025"/>
        <s v="Convênio nº 981882/2025"/>
        <s v="Convênio nº 981838/2025"/>
        <s v="Convênio nº 981951/2025"/>
        <s v="Convênio nº 981933/2025"/>
        <s v="Convênio nº 982171/2025"/>
        <s v="Convênio nº 978164/2025"/>
        <s v="Convênio nº 994695/2026"/>
        <s v="Convênio nº 994697/2026"/>
        <s v="Convênio nº 994933/2026"/>
        <s v="Convênio nº 7AABQQ/2026"/>
        <s v="Convênio nº 7AAAMY/2026"/>
        <s v="Convênio nº 7AADYR/2026"/>
        <m/>
      </sharedItems>
    </cacheField>
    <cacheField name="Número da Proposta" numFmtId="0">
      <sharedItems containsBlank="1">
        <s v="005283/2024"/>
        <s v="006142/2024"/>
        <s v="001673/2024"/>
        <s v="024089/2024"/>
        <s v="044302/2025"/>
        <s v="045921/2025"/>
        <s v="065869/2025"/>
        <s v="058187/2025"/>
        <s v="046999/2025"/>
        <s v="053406/2025"/>
        <s v="055620/2025"/>
        <s v="062060/2025"/>
        <s v="058330/2025"/>
        <s v="046967/2025"/>
        <s v="048276/2025"/>
        <s v="048504/2025"/>
        <s v="048648/2025"/>
        <s v="056109/2025"/>
        <s v="047412/2025"/>
        <s v="048766/2025"/>
        <s v="055573/2025"/>
        <s v="046938/2025"/>
        <s v="048072/2025"/>
        <s v="055597/2025"/>
        <s v="058243/2025"/>
        <s v="48483/2025"/>
        <s v="047176/2025"/>
        <s v="026461/2025"/>
        <s v="016094/2026"/>
        <s v="016277/2026"/>
        <s v="016757/2026"/>
        <s v="029175/2026"/>
        <s v="010275/2026"/>
        <s v="026609/2026"/>
        <s v="034396/2026"/>
        <m/>
      </sharedItems>
    </cacheField>
    <cacheField name="Número do processo SEI" numFmtId="0">
      <sharedItems containsBlank="1">
        <s v="72031.002432/2024-84"/>
        <s v="72031.002426/2024-27"/>
        <s v="72031.002433/2024-29"/>
        <s v="72031.007271/2023-34"/>
        <s v="72031.007745/2025-18"/>
        <s v="72031.007744/2025-65"/>
        <s v="72031.010978/2025-90"/>
        <s v="72031.009014/2025-07"/>
        <s v="72031.007737/2025-63"/>
        <s v="72031.007719/2025-81"/>
        <s v="72031.008914/2025-29"/>
        <s v="72031.009977/2025-01"/>
        <s v="72031.009016/2025-98"/>
        <s v="72031.007739/2025-52"/>
        <s v="72031.007727/2025-28"/>
        <s v="72031.007723/2025-40"/>
        <s v="72031.007722/2025-03"/>
        <s v="72031.008756/2025-15"/>
        <s v="72031.007733/2025-85"/>
        <s v="72031.007721/2025-51"/>
        <s v="72031.008918/2025-15"/>
        <s v="72031.007587/2025-98"/>
        <s v="72031.007729/2025-17"/>
        <s v="72031.008917/2025-62"/>
        <s v="72031.008951/2025-37"/>
        <s v="72031.007724/2025-94"/>
        <s v="72031.007735/2025-74"/>
        <s v="72031.004919/2025-82"/>
        <s v="72031.003111/2026-69"/>
        <s v="72031.003167/2026-13"/>
        <s v="72031.003282/2026-98"/>
        <s v="72031.006356/2026-48"/>
        <s v="72031.004566/2026-00"/>
        <s v="72031.007272/2026-21"/>
        <s v="72031.008655/2026-17"/>
        <m/>
      </sharedItems>
    </cacheField>
    <cacheField name="Objeto" numFmtId="0">
      <sharedItems containsBlank="1">
        <s v="Qualificação e Capacitação para profissionais que atuam ou pretendem atuar na área de turismo nos municípios de Currais Novos, Cerro Corá, Lagoa Nova, Carnaúba dos Dantas e Parelhas, Felipe Guerra, Portalegre e Patu, localizados na região do Seridó, IGR R"/>
        <s v="Desenvolvimento do turismo no interior do Rio Grande do Norte, oportunizando a sustentabilidade turística, impulsionando o crescimento econômico, inclusivo e sustentável, do turismo e da cultura, por meio de ações de consultoria e qualificação para formaç"/>
        <s v="Implementação de ações de qualificação destinados à realização de estudos, capacitações e eventos voltados para os trabalhadores do setor do turismo, microempreendedores individuais, microempresas, produtores locais associados ao turismo, artesãos e gesto"/>
        <s v="Qualificar o maior número de prestadores de serviço do turismo nas cidades de Belém, Ananindeua, Marituba e Benevides. Planeja-se, também, acompanhar e monitorar a inserção das pessoas atendidas no mercado de trabalho do turismo, com vistas a garantir a i"/>
        <s v="Implementação do Projeto Esporte Transformando Vidas, no Município de Wenceslau Guimarães-BA."/>
        <s v="Realização de cursos e oficinas de qualificação profissional voltados a prestadores de serviços turísticos no município de Porangatu-Go."/>
        <s v="Execução de ações de qualificação profissional no setor turistico de Natal, por meio de cursos e capacitações"/>
        <s v="Realização de cursos de qualificação profissional voltados a prestadores de serviços turísticos."/>
        <s v="Realização de cursos de qualificação profissional voltados a prestadores de serviços turísticos, no município de Capela/SE."/>
        <s v="Realização de Cursos de Qualificação Profissional Voltados a Prestadores de Serviços Turísticos no Município de Luzilândia – PI."/>
        <s v="Realização de cursos de qualificação profissional voltados aos prestadores de serviços turísticos, promovendo a melhoria da qualidade dos serviços, a valorização da cultura local, a geração de emprego e renda e o fortalecimento da competitividade do desti"/>
        <s v="Realização de cursos de qualificação profissional voltados aos prestadores de serviços turísticos no Município de Italva/RJ."/>
        <s v="Realização de cursos de qualificação profissional voltados a prestadores de serviços turísticos do município de Careiro/AM."/>
        <s v="PROMOVER A QUALIFICAÇÃO PROFISSIONAL NO MUNICÍPIO DE TIBAU DO SUL-RN"/>
        <s v="Promover a qualificação profissional da população de Nilópolis e adjacências, ampliando as oportunidades de inserção produtiva e contribuindo para o desenvolvimento sustentável do turismo na Região Turística Baixada Verde."/>
        <s v="Realização de cursos de qualificação profissional voltados a prestadores de serviços turísticos, com foco em hospitalidade, atendimento, sustentabilidade e inclusão."/>
        <s v="Realizar cursos de qualificação profissional voltados a prestadores de serviços turísticos em Sobral - CE "/>
        <s v="Realização de cursos de qualificação profissional voltados à cadeia produtiva do turismo de Sobral - CE."/>
        <s v="Realização de Cursos de Qualificação Profissional Voltados a Prestadores de Serviços Turísticos no Município de Teresina – PI."/>
        <s v="Realização de cursos de qualificação profissional para prestadores de serviços turísticos no Estado do Pará."/>
        <s v="Realização de cursos de qualificação profissional voltados a gestores públicos, trabalhadores e gestores do setor turístico."/>
        <s v="Realização de Cursos de Qualificação Profissional Voltados a Prestadores de Serviços Turísticos no Município de Parnaíba – PI."/>
        <s v="Teresina Cidade Verde: qualificar e capacitar para conectar e fortalecer as rotas turísticas"/>
        <s v="Elaboração de Projeto Piloto de Adaptação do Turismo às Mudanças Climáticas em Guararema-SP."/>
        <s v="Desenvolvimento do turismo no interior do Rio Grande do Norte, oportunizando a sustentabilidade turística, impulsionando o crescimento econômico, inclusivo e sustentável, do turismo e da cultura, por meio de ações qualificação para formação do trade turís"/>
        <s v="Realização de cursos de qualificação profissional voltados a cadeia produtiva do turismo de Martinópole"/>
        <s v="Qualificação profissional e fortalecimento da gestão empresarial no setor turístico do Estado da Paraíba, por meio da execução descentralizada de cursos, oficinas, formações técnicas e consultorias, em parceria com o Instituto Federal da Paraíba (IFPB), o"/>
        <s v="Promover a qualificação profissional, a inclusão produtiva e a empregabilidade de beneficiários do Programa Maranhão Livre da Fome, pessoas inscritas no Cadastro Único para Programas Sociais do Governo Federal (CadÚnico), trabalhadores e empreendedores da"/>
        <s v="Realizar cursos de qualificação profissional voltados a prestadores de serviços turísticos e a comunidade, oportunizando o desenvolvimento do turismo local, a sustentabilidade turística, impulsionando o crescimento econômico, inclusivo e sustentável, do t"/>
        <s v="Capacitação e Qualificação para o setor de Turismo em Nísia Floresta/RN"/>
        <m/>
      </sharedItems>
    </cacheField>
    <cacheField name="Modalidade" numFmtId="0">
      <sharedItems containsBlank="1">
        <s v="RP6"/>
        <s v="RP2"/>
        <s v="RP8"/>
        <m/>
      </sharedItems>
    </cacheField>
    <cacheField name="Código do Programa" numFmtId="0">
      <sharedItems containsString="0" containsBlank="1" containsNumber="1" containsInteger="1">
        <n v="5.400020240008E12"/>
        <n v="5.400020240012E12"/>
        <n v="5.400020250017E12"/>
        <n v="5.400020250019E12"/>
        <n v="5.400020260018E12"/>
        <n v="5.400020260017E12"/>
        <m/>
      </sharedItems>
    </cacheField>
    <cacheField name="Parlamentar Solicitante" numFmtId="0">
      <sharedItems containsBlank="1">
        <s v="Fernando Mineiro"/>
        <s v="Rogério Marinho"/>
        <s v="Yandra Moura"/>
        <s v="MINISTRO"/>
        <s v="Dal Barreto"/>
        <s v="José Nelto"/>
        <s v="Pedro Lucas Fernandes"/>
        <s v="Cabo Gilberto Silva"/>
        <s v="Dani Cunha"/>
        <s v="Pedro Lucas Fernandes/Dep Yandra"/>
        <s v="Florentino Neto"/>
        <s v="Eduardo Velloso"/>
        <s v="Marcos Soares"/>
        <s v="Pauderney Avelino"/>
        <s v="Benes Leocádio"/>
        <s v="Ricardo Abrão"/>
        <s v="Moses Rodrigues"/>
        <s v="Fausto Santos Jr."/>
        <s v="Julio Arcoverde"/>
        <s v="Dilvanda Faro"/>
        <s v="Deputado Federal David Soares"/>
        <m/>
      </sharedItems>
    </cacheField>
    <cacheField name="Data Início de Vigência" numFmtId="164">
      <sharedItems containsDate="1" containsString="0" containsBlank="1">
        <d v="2024-12-13T00:00:00Z"/>
        <d v="2024-12-23T00:00:00Z"/>
        <d v="2024-12-18T00:00:00Z"/>
        <d v="2024-12-31T00:00:00Z"/>
        <d v="2025-12-31T00:00:00Z"/>
        <d v="2025-12-19T00:00:00Z"/>
        <d v="2025-12-23T00:00:00Z"/>
        <d v="2025-12-18T00:00:00Z"/>
        <d v="2025-12-22T00:00:00Z"/>
        <d v="2025-12-17T00:00:00Z"/>
        <d v="2025-12-30T00:00:00Z"/>
        <d v="2025-12-16T00:00:00Z"/>
        <d v="2025-12-29T00:00:00Z"/>
        <d v="2025-12-24T00:00:00Z"/>
        <d v="2025-11-01T00:00:00Z"/>
        <d v="2026-07-03T00:00:00Z"/>
        <d v="2026-06-15T00:00:00Z"/>
        <d v="2026-12-10T00:00:00Z"/>
        <d v="2026-12-01T00:00:00Z"/>
        <d v="2026-08-03T00:00:00Z"/>
        <d v="2026-08-25T00:00:00Z"/>
        <m/>
      </sharedItems>
    </cacheField>
    <cacheField name="Data Término de Vigência Atual" numFmtId="165">
      <sharedItems containsDate="1" containsString="0" containsBlank="1">
        <d v="2027-06-13T00:00:00Z"/>
        <d v="2026-12-31T00:00:00Z"/>
        <d v="2027-12-18T00:00:00Z"/>
        <d v="2026-12-30T00:00:00Z"/>
        <d v="2027-04-30T00:00:00Z"/>
        <d v="2027-12-19T00:00:00Z"/>
        <d v="2027-12-23T00:00:00Z"/>
        <d v="2027-12-20T00:00:00Z"/>
        <d v="2027-12-17T00:00:00Z"/>
        <d v="2027-12-31T00:00:00Z"/>
        <d v="2027-12-16T00:00:00Z"/>
        <d v="2027-05-03T00:00:00Z"/>
        <d v="2028-09-19T00:00:00Z"/>
        <d v="2027-04-06T00:00:00Z"/>
        <d v="2027-04-27T00:00:00Z"/>
        <d v="2027-12-24T00:00:00Z"/>
        <d v="2028-09-30T00:00:00Z"/>
        <d v="2027-11-30T00:00:00Z"/>
        <d v="2027-07-03T00:00:00Z"/>
        <d v="2027-06-15T00:00:00Z"/>
        <d v="2027-12-10T00:00:00Z"/>
        <d v="2028-08-30T00:00:00Z"/>
        <d v="2028-12-31T00:00:00Z"/>
        <m/>
      </sharedItems>
    </cacheField>
    <cacheField name="Valor de Repasse da Proposta" numFmtId="166">
      <sharedItems containsString="0" containsBlank="1" containsNumber="1" containsInteger="1">
        <n v="500000.0"/>
        <n v="1000000.0"/>
        <n v="450000.0"/>
        <n v="2994000.0"/>
        <n v="990000.0"/>
        <n v="700000.0"/>
        <n v="1300000.0"/>
        <n v="1259150.0"/>
        <n v="400000.0"/>
        <n v="800000.0"/>
        <n v="1500000.0"/>
        <n v="370000.0"/>
        <n v="2600000.0"/>
        <n v="1.0E7"/>
        <n v="1700000.0"/>
        <n v="250000.0"/>
        <m/>
      </sharedItems>
    </cacheField>
    <cacheField name="Valor Global" numFmtId="166">
      <sharedItems containsString="0" containsBlank="1" containsNumber="1">
        <n v="546039.72"/>
        <n v="1000000.0"/>
        <n v="1050000.0"/>
        <n v="1020000.0"/>
        <n v="455000.0"/>
        <n v="455377.26"/>
        <n v="3000000.0"/>
        <n v="707000.0"/>
        <n v="1301400.0"/>
        <n v="505000.0"/>
        <n v="500500.5"/>
        <n v="1260750.0"/>
        <n v="452000.0"/>
        <n v="401000.0"/>
        <n v="808000.0"/>
        <n v="451000.0"/>
        <n v="1612903.23"/>
        <n v="451681.86"/>
        <n v="379820.0"/>
        <n v="2630400.0"/>
        <n v="450500.0"/>
        <n v="1.003E7"/>
        <n v="1502000.0"/>
        <n v="1734000.0"/>
        <n v="500000.0"/>
        <n v="1010000.0"/>
        <n v="525000.0"/>
        <n v="263618.48"/>
        <n v="251000.0"/>
        <m/>
      </sharedItems>
    </cacheField>
    <cacheField name="Valor do Empenho" numFmtId="166">
      <sharedItems containsString="0" containsBlank="1" containsNumber="1" containsInteger="1">
        <n v="500000.0"/>
        <n v="1000000.0"/>
        <n v="450000.0"/>
        <n v="2994000.0"/>
        <n v="700000.0"/>
        <n v="1300000.0"/>
        <n v="1450000.0"/>
        <n v="400000.0"/>
        <n v="800000.0"/>
        <n v="1500000.0"/>
        <n v="370000.0"/>
        <n v="2600000.0"/>
        <n v="1.0E7"/>
        <n v="1700000.0"/>
        <m/>
      </sharedItems>
    </cacheField>
    <cacheField name="Repasse Financeiro Realizado?" numFmtId="0">
      <sharedItems containsBlank="1">
        <s v="SIM"/>
        <s v="NÃO"/>
        <m/>
      </sharedItems>
    </cacheField>
    <cacheField name="Valor Já Repassado (MTur)" numFmtId="166">
      <sharedItems containsString="0" containsBlank="1" containsNumber="1" containsInteger="1">
        <n v="500000.0"/>
        <n v="1000000.0"/>
        <m/>
        <n v="2600000.0"/>
        <n v="1500000.0"/>
      </sharedItems>
    </cacheField>
    <cacheField name="Saiu da Cláusula Suspensiva?" numFmtId="0">
      <sharedItems containsBlank="1">
        <s v="SIM"/>
        <s v="NÃO"/>
        <s v="EM EXECUÇÃO"/>
        <s v="EM COMPLEMENTAÇÃO"/>
        <s v="NÃO CADASTRADO"/>
        <m/>
      </sharedItems>
    </cacheField>
    <cacheField name="Termo Aditivo Assinado?" numFmtId="0">
      <sharedItems containsBlank="1">
        <s v="SIM"/>
        <s v="NÃO"/>
        <s v="EM EXECUÇÃO"/>
        <s v="EM COMPLEMENTAÇÃO"/>
        <s v="NÃO CADASTRADO"/>
        <m/>
      </sharedItems>
    </cacheField>
    <cacheField name="Motivo da Permanência na Cláusula Suspensiva" numFmtId="0">
      <sharedItems containsBlank="1">
        <m/>
        <s v="Foi Assinado mas ALDO pediu para segurar o cadastro do TA"/>
        <s v="NÃO FEZ O ENVIO DA PLANILHA E NEM DO TR ATUALIZADO"/>
        <s v="THIAGO ESTÁ ANALISANDO "/>
        <s v="TIAGO MENDES ESTÁ ANALISANDO"/>
        <s v="FALTA CGFC PUBLICAR O TA"/>
        <s v="FALTA O PROPONENTE AJUSTAR O PT"/>
        <s v="FALTA CADASTRAR O TA"/>
        <s v="TA PUBLICADO "/>
        <s v="AGUARDANDO AJUSTES NO TGOV PELO PROPONENTE"/>
        <s v="AJUSTES AUTORIZADOS, AGUARDANDO PROPONENTE REALIZAR"/>
        <s v="CGUTRES TA FAZENDO O TERMO  ADITIVO"/>
        <s v="Falta contrapartida e processo licitatório "/>
        <s v="Não apresentaram o processo licitatório"/>
        <s v="Apresentarem documentos na aba anexos"/>
        <s v="Enviado para analis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T36" sheet="Convênios"/>
  </cacheSource>
  <cacheFields>
    <cacheField name="Ano" numFmtId="0">
      <sharedItems containsSemiMixedTypes="0" containsString="0" containsNumber="1" containsInteger="1">
        <n v="2024.0"/>
        <n v="2025.0"/>
        <n v="2026.0"/>
      </sharedItems>
    </cacheField>
    <cacheField name="Nome do proponente" numFmtId="0">
      <sharedItems>
        <s v="Secretaria Estadual de Turismo do Rio Grande do Norte  (SETUR-RN)"/>
        <s v="Serviço Nacional de Aprendizagem Comercial do Rio Grande do Norte (SENAC-RN)"/>
        <s v="SERVICO DE APOIO AS MICRO E PEQUENAS EMPRESAS DE SE (SEBRAE)"/>
        <s v="SECRETARIA DE ESTADO DE TURISMO (SETUR-PA)"/>
        <s v="MUNICIPIO DE WENCESLAU GUIMARAES"/>
        <s v="MUNICIPIO DE PORANGATU"/>
        <s v="MUNICIPIO DE NATAL"/>
        <s v="MUNICÍPIO DO CONDE"/>
        <s v="MUNICIPIO DE TRAJANO DE MORAIS "/>
        <s v="MUNICIPIO DE CAPELA"/>
        <s v="SECRETARIA DO DESENVOLVIMENTO ECONOMICO -  Luzilândia/PI"/>
        <s v="ESTADO DO ACRE"/>
        <s v="MUNICÍPIO DE ITALVA"/>
        <s v="MUNICIPIO DE CAREIRO"/>
        <s v="MUNICIPIO DE TIBAU DO SUL"/>
        <s v="MUNICIPIO DE NILOPOLIS"/>
        <s v="MUNICIPIO DE CANINDE DE SAO FRANCISCO"/>
        <s v="MUNICIPIO DE SOBRAL"/>
        <s v="MUNICIPIO DE IAÇU"/>
        <s v="SECRETARIA DO DESENVOLVIMENTO ECONOMICO - Teresina/PI"/>
        <s v="Empresa Estadual de Turismo do Amazonas"/>
        <s v="SECRETARIA DO DESENVOLVIMENTO ECONOMICO - Parnaíba/PI"/>
        <s v="FUNDACAO WALL FERRAZ"/>
        <s v="SECRETARIA DE ESTADO DE ASSISTENCIA SOCIAL,TRABALHO,EMPREGO E RENDA (SEASTER-PA)"/>
        <s v="MUNICIPIO DE GUARAREMA - CGTURES"/>
        <s v="SERVICO NACIONAL DE APRENDIZAGEM COMERCIAL - SENAC - AR/RN"/>
        <s v="MUNICIPIO DE MARTINOPOLE"/>
        <s v="MUNICIPIO DE UMIRIM"/>
        <s v="SECRETARIA DE ESTADO DO TURISMO E DO DESENVOLVIMENTO ECONOMICO - Paraiba/PB"/>
        <s v="ESTADO DO MARANHÃO - SECRETARIA DE ESTADO DO DESENVOLVIMENTO SOCIAL "/>
        <s v="MUNICIPIO DE NISIA FLORESTA"/>
      </sharedItems>
    </cacheField>
    <cacheField name="UF do Proponente" numFmtId="0">
      <sharedItems>
        <s v="RN"/>
        <s v="SE"/>
        <s v="PA"/>
        <s v="GO"/>
        <s v="PB"/>
        <s v="RJ"/>
        <s v="PI"/>
        <s v="AC"/>
        <s v="AM"/>
        <s v="CE"/>
        <s v="BA"/>
        <s v=" SP"/>
        <s v="MA"/>
      </sharedItems>
    </cacheField>
    <cacheField name="Instrumento" numFmtId="0">
      <sharedItems>
        <s v="Convênio nº 970061/2024"/>
        <s v="Convênio nº 970093/2024"/>
        <s v="Convênio nº 970062/2024"/>
        <s v="Convênio nº 969365/2024"/>
        <s v="Convênio nº 982062/2025"/>
        <s v="Convênio nº 981938/2025"/>
        <s v="Convênio nº 988080/2025"/>
        <s v="Convênio nº 982177/2025"/>
        <s v="Convênio nº 981834/2025"/>
        <s v="Convênio nº 981970/2025"/>
        <s v="Convênio nº 981840/2025"/>
        <s v="Convênio nº 984749/2025"/>
        <s v="Convênio nº 982182/2025"/>
        <s v="Convênio nº 982173/2025"/>
        <s v="Convênio nº 981972/2025"/>
        <s v="Convênio nº 982154/2025"/>
        <s v="Convênio nº 981733/2025"/>
        <s v="Convênio nº 982143/2025"/>
        <s v="Convênio nº 982074/2025"/>
        <s v="Convênio nº 982032/2025"/>
        <s v="Convênio nº 981837/2025"/>
        <s v="Convênio nº 982176/2025"/>
        <s v="Convênio nº 981882/2025"/>
        <s v="Convênio nº 981838/2025"/>
        <s v="Convênio nº 981951/2025"/>
        <s v="Convênio nº 981933/2025"/>
        <s v="Convênio nº 982171/2025"/>
        <s v="Convênio nº 978164/2025"/>
        <s v="Convênio nº 994695/2026"/>
        <s v="Convênio nº 994697/2026"/>
        <s v="Convênio nº 994933/2026"/>
        <s v="Convênio nº 7AABQQ/2026"/>
        <s v="Convênio nº 7AAAMY/2026"/>
        <s v="Convênio nº 7AADYR/2026"/>
      </sharedItems>
    </cacheField>
    <cacheField name="Número da Proposta" numFmtId="0">
      <sharedItems>
        <s v="005283/2024"/>
        <s v="006142/2024"/>
        <s v="001673/2024"/>
        <s v="024089/2024"/>
        <s v="044302/2025"/>
        <s v="045921/2025"/>
        <s v="065869/2025"/>
        <s v="058187/2025"/>
        <s v="046999/2025"/>
        <s v="053406/2025"/>
        <s v="055620/2025"/>
        <s v="062060/2025"/>
        <s v="058330/2025"/>
        <s v="046967/2025"/>
        <s v="048276/2025"/>
        <s v="048504/2025"/>
        <s v="048648/2025"/>
        <s v="056109/2025"/>
        <s v="047412/2025"/>
        <s v="048766/2025"/>
        <s v="055573/2025"/>
        <s v="046938/2025"/>
        <s v="048072/2025"/>
        <s v="055597/2025"/>
        <s v="058243/2025"/>
        <s v="48483/2025"/>
        <s v="047176/2025"/>
        <s v="026461/2025"/>
        <s v="016094/2026"/>
        <s v="016277/2026"/>
        <s v="016757/2026"/>
        <s v="029175/2026"/>
        <s v="010275/2026"/>
        <s v="026609/2026"/>
      </sharedItems>
    </cacheField>
    <cacheField name="Número do processo SEI" numFmtId="0">
      <sharedItems>
        <s v="72031.002432/2024-84"/>
        <s v="72031.002426/2024-27"/>
        <s v="72031.002433/2024-29"/>
        <s v="72031.007271/2023-34"/>
        <s v="72031.007745/2025-18"/>
        <s v="72031.007744/2025-65"/>
        <s v="72031.010978/2025-90"/>
        <s v="72031.009014/2025-07"/>
        <s v="72031.007737/2025-63"/>
        <s v="72031.007719/2025-81"/>
        <s v="72031.008914/2025-29"/>
        <s v="72031.009977/2025-01"/>
        <s v="72031.009016/2025-98"/>
        <s v="72031.007739/2025-52"/>
        <s v="72031.007727/2025-28"/>
        <s v="72031.007723/2025-40"/>
        <s v="72031.007722/2025-03"/>
        <s v="72031.008756/2025-15"/>
        <s v="72031.007733/2025-85"/>
        <s v="72031.007721/2025-51"/>
        <s v="72031.008918/2025-15"/>
        <s v="72031.007587/2025-98"/>
        <s v="72031.007729/2025-17"/>
        <s v="72031.008917/2025-62"/>
        <s v="72031.008951/2025-37"/>
        <s v="72031.007724/2025-94"/>
        <s v="72031.007735/2025-74"/>
        <s v="72031.004919/2025-82"/>
        <s v="72031.003111/2026-69"/>
        <s v="72031.003167/2026-13"/>
        <s v="72031.003282/2026-98"/>
        <s v="72031.006356/2026-48"/>
        <s v="72031.004566/2026-00"/>
        <s v="72031.007272/2026-21"/>
      </sharedItems>
    </cacheField>
    <cacheField name="Objeto" numFmtId="0">
      <sharedItems>
        <s v="Qualificação e Capacitação para profissionais que atuam ou pretendem atuar na área de turismo nos municípios de Currais Novos, Cerro Corá, Lagoa Nova, Carnaúba dos Dantas e Parelhas, Felipe Guerra, Portalegre e Patu, localizados na região do Seridó, IGR R"/>
        <s v="Desenvolvimento do turismo no interior do Rio Grande do Norte, oportunizando a sustentabilidade turística, impulsionando o crescimento econômico, inclusivo e sustentável, do turismo e da cultura, por meio de ações de consultoria e qualificação para formaç"/>
        <s v="Implementação de ações de qualificação destinados à realização de estudos, capacitações e eventos voltados para os trabalhadores do setor do turismo, microempreendedores individuais, microempresas, produtores locais associados ao turismo, artesãos e gesto"/>
        <s v="Qualificar o maior número de prestadores de serviço do turismo nas cidades de Belém, Ananindeua, Marituba e Benevides. Planeja-se, também, acompanhar e monitorar a inserção das pessoas atendidas no mercado de trabalho do turismo, com vistas a garantir a i"/>
        <s v="Implementação do Projeto Esporte Transformando Vidas, no Município de Wenceslau Guimarães-BA."/>
        <s v="Realização de cursos e oficinas de qualificação profissional voltados a prestadores de serviços turísticos no município de Porangatu-Go."/>
        <s v="Execução de ações de qualificação profissional no setor turistico de Natal, por meio de cursos e capacitações"/>
        <s v="Realização de cursos de qualificação profissional voltados a prestadores de serviços turísticos."/>
        <s v="Realização de cursos de qualificação profissional voltados a prestadores de serviços turísticos, no município de Capela/SE."/>
        <s v="Realização de Cursos de Qualificação Profissional Voltados a Prestadores de Serviços Turísticos no Município de Luzilândia – PI."/>
        <s v="Realização de cursos de qualificação profissional voltados aos prestadores de serviços turísticos, promovendo a melhoria da qualidade dos serviços, a valorização da cultura local, a geração de emprego e renda e o fortalecimento da competitividade do desti"/>
        <s v="Realização de cursos de qualificação profissional voltados aos prestadores de serviços turísticos no Município de Italva/RJ."/>
        <s v="Realização de cursos de qualificação profissional voltados a prestadores de serviços turísticos do município de Careiro/AM."/>
        <s v="PROMOVER A QUALIFICAÇÃO PROFISSIONAL NO MUNICÍPIO DE TIBAU DO SUL-RN"/>
        <s v="Promover a qualificação profissional da população de Nilópolis e adjacências, ampliando as oportunidades de inserção produtiva e contribuindo para o desenvolvimento sustentável do turismo na Região Turística Baixada Verde."/>
        <s v="Realização de cursos de qualificação profissional voltados a prestadores de serviços turísticos, com foco em hospitalidade, atendimento, sustentabilidade e inclusão."/>
        <s v="Realizar cursos de qualificação profissional voltados a prestadores de serviços turísticos em Sobral - CE "/>
        <s v="Realização de cursos de qualificação profissional voltados à cadeia produtiva do turismo de Sobral - CE."/>
        <s v="Realização de Cursos de Qualificação Profissional Voltados a Prestadores de Serviços Turísticos no Município de Teresina – PI."/>
        <s v="Realização de cursos de qualificação profissional para prestadores de serviços turísticos no Estado do Pará."/>
        <s v="Realização de cursos de qualificação profissional voltados a gestores públicos, trabalhadores e gestores do setor turístico."/>
        <s v="Realização de Cursos de Qualificação Profissional Voltados a Prestadores de Serviços Turísticos no Município de Parnaíba – PI."/>
        <s v="Teresina Cidade Verde: qualificar e capacitar para conectar e fortalecer as rotas turísticas"/>
        <s v="Elaboração de Projeto Piloto de Adaptação do Turismo às Mudanças Climáticas em Guararema-SP."/>
        <s v="Desenvolvimento do turismo no interior do Rio Grande do Norte, oportunizando a sustentabilidade turística, impulsionando o crescimento econômico, inclusivo e sustentável, do turismo e da cultura, por meio de ações qualificação para formação do trade turís"/>
        <s v="Realização de cursos de qualificação profissional voltados a cadeia produtiva do turismo de Martinópole"/>
        <s v="Qualificação profissional e fortalecimento da gestão empresarial no setor turístico do Estado da Paraíba, por meio da execução descentralizada de cursos, oficinas, formações técnicas e consultorias, em parceria com o Instituto Federal da Paraíba (IFPB), o"/>
        <s v="Promover a qualificação profissional, a inclusão produtiva e a empregabilidade de beneficiários do Programa Maranhão Livre da Fome, pessoas inscritas no Cadastro Único para Programas Sociais do Governo Federal (CadÚnico), trabalhadores e empreendedores da"/>
        <s v="Realizar cursos de qualificação profissional voltados a prestadores de serviços turísticos e a comunidade, oportunizando o desenvolvimento do turismo local, a sustentabilidade turística, impulsionando o crescimento econômico, inclusivo e sustentável, do t"/>
        <s v="Capacitação e Qualificação para o setor de Turismo em Nísia Floresta/RN"/>
      </sharedItems>
    </cacheField>
    <cacheField name="Modalidade" numFmtId="0">
      <sharedItems>
        <s v="RP6"/>
        <s v="RP2"/>
        <s v="RP8"/>
      </sharedItems>
    </cacheField>
    <cacheField name="Código do Programa" numFmtId="0">
      <sharedItems containsSemiMixedTypes="0" containsString="0" containsNumber="1" containsInteger="1">
        <n v="5.400020240008E12"/>
        <n v="5.400020240012E12"/>
        <n v="5.400020250017E12"/>
        <n v="5.400020250019E12"/>
        <n v="5.400020260018E12"/>
        <n v="5.400020260017E12"/>
      </sharedItems>
    </cacheField>
    <cacheField name="Parlamentar Solicitante" numFmtId="0">
      <sharedItems>
        <s v="Fernando Mineiro"/>
        <s v="Rogério Marinho"/>
        <s v="Yandra Moura"/>
        <s v="MINISTRO"/>
        <s v="Dal Barreto"/>
        <s v="José Nelto"/>
        <s v="Pedro Lucas Fernandes"/>
        <s v="Cabo Gilberto Silva"/>
        <s v="Dani Cunha"/>
        <s v="Pedro Lucas Fernandes/Dep Yandra"/>
        <s v="Florentino Neto"/>
        <s v="Eduardo Velloso"/>
        <s v="Marcos Soares"/>
        <s v="Pauderney Avelino"/>
        <s v="Benes Leocádio"/>
        <s v="Ricardo Abrão"/>
        <s v="Moses Rodrigues"/>
        <s v="Fausto Santos Jr."/>
        <s v="Julio Arcoverde"/>
        <s v="Dilvanda Faro"/>
        <s v="Deputado Federal David Soares"/>
      </sharedItems>
    </cacheField>
    <cacheField name="Data Início de Vigência" numFmtId="164">
      <sharedItems containsSemiMixedTypes="0" containsDate="1" containsString="0">
        <d v="2024-12-13T00:00:00Z"/>
        <d v="2024-12-23T00:00:00Z"/>
        <d v="2024-12-18T00:00:00Z"/>
        <d v="2024-12-31T00:00:00Z"/>
        <d v="2025-12-31T00:00:00Z"/>
        <d v="2025-12-19T00:00:00Z"/>
        <d v="2025-12-23T00:00:00Z"/>
        <d v="2025-12-18T00:00:00Z"/>
        <d v="2025-12-22T00:00:00Z"/>
        <d v="2025-12-17T00:00:00Z"/>
        <d v="2025-12-30T00:00:00Z"/>
        <d v="2025-12-16T00:00:00Z"/>
        <d v="2025-12-29T00:00:00Z"/>
        <d v="2025-12-24T00:00:00Z"/>
        <d v="2025-11-01T00:00:00Z"/>
        <d v="2026-07-03T00:00:00Z"/>
        <d v="2026-06-15T00:00:00Z"/>
        <d v="2026-12-10T00:00:00Z"/>
        <d v="2026-12-01T00:00:00Z"/>
        <d v="2026-08-03T00:00:00Z"/>
      </sharedItems>
    </cacheField>
    <cacheField name="Data Término de Vigência Atual" numFmtId="165">
      <sharedItems containsSemiMixedTypes="0" containsDate="1" containsString="0">
        <d v="2027-06-13T00:00:00Z"/>
        <d v="2026-12-31T00:00:00Z"/>
        <d v="2027-12-18T00:00:00Z"/>
        <d v="2026-12-30T00:00:00Z"/>
        <d v="2027-04-30T00:00:00Z"/>
        <d v="2027-12-19T00:00:00Z"/>
        <d v="2027-12-23T00:00:00Z"/>
        <d v="2027-12-20T00:00:00Z"/>
        <d v="2027-12-17T00:00:00Z"/>
        <d v="2027-12-31T00:00:00Z"/>
        <d v="2027-12-16T00:00:00Z"/>
        <d v="2027-05-03T00:00:00Z"/>
        <d v="2028-09-19T00:00:00Z"/>
        <d v="2027-04-06T00:00:00Z"/>
        <d v="2027-04-27T00:00:00Z"/>
        <d v="2027-12-24T00:00:00Z"/>
        <d v="2028-09-30T00:00:00Z"/>
        <d v="2027-11-30T00:00:00Z"/>
        <d v="2027-07-03T00:00:00Z"/>
        <d v="2027-06-15T00:00:00Z"/>
        <d v="2027-12-10T00:00:00Z"/>
        <d v="2028-08-30T00:00:00Z"/>
      </sharedItems>
    </cacheField>
    <cacheField name="Valor de Repasse da Proposta" numFmtId="166">
      <sharedItems containsSemiMixedTypes="0" containsString="0" containsNumber="1" containsInteger="1">
        <n v="500000.0"/>
        <n v="1000000.0"/>
        <n v="450000.0"/>
        <n v="2994000.0"/>
        <n v="990000.0"/>
        <n v="700000.0"/>
        <n v="1300000.0"/>
        <n v="1259150.0"/>
        <n v="400000.0"/>
        <n v="800000.0"/>
        <n v="1500000.0"/>
        <n v="370000.0"/>
        <n v="2600000.0"/>
        <n v="1.0E7"/>
        <n v="1700000.0"/>
        <n v="250000.0"/>
      </sharedItems>
    </cacheField>
    <cacheField name="Valor Global" numFmtId="166">
      <sharedItems containsSemiMixedTypes="0" containsString="0" containsNumber="1">
        <n v="546039.72"/>
        <n v="1000000.0"/>
        <n v="1050000.0"/>
        <n v="1020000.0"/>
        <n v="455000.0"/>
        <n v="455377.26"/>
        <n v="3000000.0"/>
        <n v="707000.0"/>
        <n v="1301400.0"/>
        <n v="505000.0"/>
        <n v="500500.5"/>
        <n v="1260750.0"/>
        <n v="452000.0"/>
        <n v="401000.0"/>
        <n v="808000.0"/>
        <n v="451000.0"/>
        <n v="1612903.23"/>
        <n v="451681.86"/>
        <n v="379820.0"/>
        <n v="2630400.0"/>
        <n v="450500.0"/>
        <n v="1.003E7"/>
        <n v="1502000.0"/>
        <n v="1734000.0"/>
        <n v="500000.0"/>
        <n v="1010000.0"/>
        <n v="525000.0"/>
        <n v="263618.48"/>
      </sharedItems>
    </cacheField>
    <cacheField name="Valor do Empenho" numFmtId="166">
      <sharedItems containsString="0" containsBlank="1" containsNumber="1" containsInteger="1">
        <n v="500000.0"/>
        <n v="1000000.0"/>
        <n v="450000.0"/>
        <n v="2994000.0"/>
        <n v="700000.0"/>
        <n v="1300000.0"/>
        <n v="1450000.0"/>
        <n v="400000.0"/>
        <n v="800000.0"/>
        <n v="1500000.0"/>
        <n v="370000.0"/>
        <n v="2600000.0"/>
        <n v="1.0E7"/>
        <n v="1700000.0"/>
        <m/>
      </sharedItems>
    </cacheField>
    <cacheField name="Repasse Financeiro Realizado?" numFmtId="0">
      <sharedItems>
        <s v="SIM"/>
        <s v="NÃO"/>
      </sharedItems>
    </cacheField>
    <cacheField name="Valor Já Repassado (MTur)" numFmtId="166">
      <sharedItems containsString="0" containsBlank="1" containsNumber="1" containsInteger="1">
        <n v="500000.0"/>
        <n v="1000000.0"/>
        <m/>
        <n v="2600000.0"/>
        <n v="1500000.0"/>
      </sharedItems>
    </cacheField>
    <cacheField name="Saiu da Cláusula Suspensiva?" numFmtId="0">
      <sharedItems>
        <s v="SIM"/>
        <s v="NÃO"/>
        <s v="EM EXECUÇÃO"/>
        <s v="EM COMPLEMENTAÇÃO"/>
      </sharedItems>
    </cacheField>
    <cacheField name="Termo Aditivo Assinado?" numFmtId="0">
      <sharedItems>
        <s v="SIM"/>
        <s v="NÃO"/>
        <s v="EM EXECUÇÃO"/>
        <s v="EM COMPLEMENTAÇÃO"/>
      </sharedItems>
    </cacheField>
    <cacheField name="Motivo da Permanência na Cláusula Suspensiva" numFmtId="0">
      <sharedItems containsBlank="1">
        <m/>
        <s v="Foi Assinado mas ALDO pediu para segurar o cadastro do TA"/>
        <s v="NÃO FEZ O ENVIO DA PLANILHA E NEM DO TR ATUALIZADO"/>
        <s v="THIAGO ESTÁ ANALISANDO "/>
        <s v="TIAGO MENDES ESTÁ ANALISANDO"/>
        <s v="FALTA CGFC PUBLICAR O TA"/>
        <s v="FALTA O PROPONENTE AJUSTAR O PT"/>
        <s v="FALTA CADASTRAR O TA"/>
        <s v="TA PUBLICADO "/>
        <s v="AGUARDANDO AJUSTES NO TGOV PELO PROPONENTE"/>
        <s v="AJUSTES AUTORIZADOS, AGUARDANDO PROPONENTE REALIZAR"/>
        <s v="CGUTRES TA FAZENDO O TERMO  ADITIVO"/>
        <s v="Falta contrapartida e processo licitatório "/>
        <s v="Não apresentaram o processo licitatório"/>
        <s v="Apresentarem documentos na aba anexo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T14" sheet="Termo de Fomento"/>
  </cacheSource>
  <cacheFields>
    <cacheField name="Ano" numFmtId="0">
      <sharedItems containsSemiMixedTypes="0" containsString="0" containsNumber="1" containsInteger="1">
        <n v="2024.0"/>
        <n v="2025.0"/>
        <n v="2026.0"/>
      </sharedItems>
    </cacheField>
    <cacheField name="Nome do proponente" numFmtId="0">
      <sharedItems>
        <s v="Associação Brasileira da Indústria de Hotéis do Rio Grande do Norte - ABIH/RN"/>
        <s v="INSTITUTO NACIONAL DE PARCERIAS PUBLICAS - INPP"/>
        <s v="INSTITUTO SOCIAL DE CAPELANIA EDUCACIONAL E CULTURAL DO MARANHAO ISCEC MA"/>
        <s v="INSTITUTO CONEXAO"/>
        <s v="INSTITUTO RESGATE ONG ESCOLA VOLUNTARIA AGRICOLA"/>
        <s v="INSTITUTO FUTURE DE JUVENTUDE PROMOÇÃO TURISMO"/>
        <s v="INSTITUTO SOMAR SOLUÇÃO BRASIL"/>
        <s v="ASSOCIAÇÃO CONSTRUIR DE ASSISTENCIA SOCIAL"/>
        <s v="LIGA BRASILEIRA DE CLUBES DE BOXE"/>
        <s v="ADEMINAS AGENCIA DE DESENVOLVIMENTO ECONOMICO E SOCIAL DO ESTADO DE MINAS GERAIS"/>
        <s v="ABRASOCIAL ASSOCIACAO BRASILEIRA SERVICOS SOCIAIS - CGTURES"/>
        <s v="INSTITUTO SOMAR SOLUÇAO BRASIL"/>
      </sharedItems>
    </cacheField>
    <cacheField name="UF do Proponente" numFmtId="0">
      <sharedItems>
        <s v="RN"/>
        <s v="DF"/>
        <s v="MA"/>
        <s v="RJ"/>
        <s v="CE"/>
        <s v="MG"/>
      </sharedItems>
    </cacheField>
    <cacheField name="Instrumento" numFmtId="0">
      <sharedItems containsBlank="1">
        <s v="Termo de Fomento nº 971418/2024"/>
        <s v="Termo de Fomento nº 988679/2025"/>
        <s v="Termo de Fomento nº 988537/2025"/>
        <s v="Termo de Fomento nº 987800/2025"/>
        <s v="Termo de Fomento nº 981884/2025"/>
        <s v="Termo de Fomento nº 982190/2025"/>
        <s v="Termo de Fomento nº 981981/2025"/>
        <s v="Termo de Fomento nº 982185/2025"/>
        <m/>
        <s v="Termo de Fomento nº 7AAAJN/2026"/>
        <s v="Termo de Fomento nº 999084/2026"/>
        <s v="Termo de Fomento nº 7AAEOA/2026"/>
      </sharedItems>
    </cacheField>
    <cacheField name="Número da Proposta" numFmtId="0">
      <sharedItems>
        <s v="035534/2024"/>
        <s v="065987/2025"/>
        <s v="065935/2025"/>
        <s v="065398/2025"/>
        <s v="057787/2025"/>
        <s v="048761/2025"/>
        <s v="047523/2025"/>
        <s v="045968/2025"/>
        <s v="026743/2026"/>
        <s v="027839/2026"/>
        <s v="011309/2026"/>
        <s v="031236/2026"/>
      </sharedItems>
    </cacheField>
    <cacheField name="Número do processo SEI" numFmtId="0">
      <sharedItems>
        <s v="72031.009417/2024-67"/>
        <s v="72031.011036/2025-29"/>
        <s v="72031.011033/2025-95"/>
        <s v="72031.010787/2025-28"/>
        <s v="72031.008882/2025-61"/>
        <s v="72031.007746/2025-54"/>
        <s v="72031.007747/2025-07"/>
        <s v="72031.007749/2025-98"/>
        <s v="72031.007306/2026-88"/>
        <s v="72031.005809/2026-19"/>
        <s v="72031.005102/2026-11"/>
        <s v="72031.007850/2026-20"/>
      </sharedItems>
    </cacheField>
    <cacheField name="Objeto" numFmtId="0">
      <sharedItems>
        <s v="Promover formação profissional, oportunizando o desenvolvimento do turismo local, a sustentabilidade turística, impulsionando o crescimento econômico e sustentável, do turismo e da cultura, do estado do Rio Grande do Norte."/>
        <s v="Realização do projeto Qualifica Turismo"/>
        <s v="Realização de Cursos de Qualificação voltados a prestadores de serviços turísticos."/>
        <s v="Implementação do Projeto Rio Destino 360 no Estado do Rio de Janeiro."/>
        <s v="Realização de Cursos de Qualificação Profissional voltados a prestadores de serviços dos setores turísticos do Estado do Maranhão."/>
        <s v="Realizar a qualificação para os profissionais da área de turismo de eventos"/>
        <s v="Realização de cursos de qualificação profissional voltados a prestadores de serviços turísticos."/>
        <s v="Realização de cursos de qualificação profissional voltados a prestadores de serviços turísticos nos municípios de Guapimirim e Búzios – RJ."/>
        <s v="Execução do projeto Turismo em Movimento: Capacitação para o Turismo Esportivo no Rio de Janeiro, destinado à capacitação gratuita de 450 pessoas, de ambos os sexos, com idade entre 18 e 45 anos, para atuação na cadeia do turismo esportivo, com foco na qu"/>
        <s v="IMPLEMENTAÇÃO DE PROGRAMA DE QUALIFICAÇÃO PROFISSIONAL AOS PROFISSIONAIS DE ATENDIMENTO DO RIO DE JANEIRO"/>
      </sharedItems>
    </cacheField>
    <cacheField name="Modalidade" numFmtId="0">
      <sharedItems>
        <s v="RP6"/>
        <s v="RP8"/>
      </sharedItems>
    </cacheField>
    <cacheField name="Código do Programa" numFmtId="0">
      <sharedItems containsSemiMixedTypes="0" containsString="0" containsNumber="1" containsInteger="1">
        <n v="5.400020240014E12"/>
        <n v="5.400020250016E12"/>
        <n v="5.400020260023E12"/>
        <n v="5.400020260009E12"/>
      </sharedItems>
    </cacheField>
    <cacheField name="Parlamentar Solicitante" numFmtId="0">
      <sharedItems>
        <s v="Rogério Marinho"/>
        <s v="Doutor Luizinho"/>
        <s v="Pedro Lucas Fernandes"/>
        <s v="Otoni de Paula"/>
        <s v="Dayany Bittencourt"/>
        <s v="Murillo Gouvea"/>
        <s v="Juninho do Pneu"/>
        <s v="DR. Flavio Campos Ferreira"/>
        <s v="Zé Vitor"/>
        <s v="Marcelo Crivella"/>
      </sharedItems>
    </cacheField>
    <cacheField name="Data Início de Vigência" numFmtId="164">
      <sharedItems containsSemiMixedTypes="0" containsDate="1" containsString="0">
        <d v="2024-12-31T00:00:00Z"/>
        <d v="2025-12-31T00:00:00Z"/>
        <d v="2025-12-30T00:00:00Z"/>
        <d v="2026-06-05T00:00:00Z"/>
        <d v="2026-07-19T00:00:00Z"/>
        <d v="2026-06-01T00:00:00Z"/>
        <d v="2026-12-01T00:00:00Z"/>
      </sharedItems>
    </cacheField>
    <cacheField name="Data Término de Vigência Atual" numFmtId="165">
      <sharedItems containsSemiMixedTypes="0" containsDate="1" containsString="0">
        <d v="2026-10-22T00:00:00Z"/>
        <d v="2027-05-31T00:00:00Z"/>
        <d v="2027-05-04T00:00:00Z"/>
        <d v="2027-01-05T00:00:00Z"/>
        <d v="2027-04-05T00:00:00Z"/>
        <d v="2026-11-30T00:00:00Z"/>
        <d v="2026-10-01T00:00:00Z"/>
        <d v="2027-06-04T00:00:00Z"/>
        <d v="2027-07-18T00:00:00Z"/>
        <d v="2027-06-01T00:00:00Z"/>
        <d v="2027-09-30T00:00:00Z"/>
      </sharedItems>
    </cacheField>
    <cacheField name="Valor de Repasse da Proposta" numFmtId="166">
      <sharedItems containsSemiMixedTypes="0" containsString="0" containsNumber="1" containsInteger="1">
        <n v="300000.0"/>
        <n v="5000000.0"/>
        <n v="330000.0"/>
        <n v="4000000.0"/>
        <n v="500000.0"/>
        <n v="450000.0"/>
        <n v="400000.0"/>
        <n v="2500000.0"/>
        <n v="250000.0"/>
      </sharedItems>
    </cacheField>
    <cacheField name="Valor Global" numFmtId="166">
      <sharedItems containsSemiMixedTypes="0" containsString="0" containsNumber="1" containsInteger="1">
        <n v="300000.0"/>
        <n v="5000000.0"/>
        <n v="330000.0"/>
        <n v="4000000.0"/>
        <n v="500000.0"/>
        <n v="450000.0"/>
        <n v="400000.0"/>
        <n v="2500000.0"/>
        <n v="250000.0"/>
      </sharedItems>
    </cacheField>
    <cacheField name="Valor do Empenho" numFmtId="166">
      <sharedItems containsString="0" containsBlank="1" containsNumber="1" containsInteger="1">
        <n v="300000.0"/>
        <n v="5000000.0"/>
        <n v="330000.0"/>
        <n v="4000000.0"/>
        <n v="500000.0"/>
        <n v="450000.0"/>
        <n v="400000.0"/>
        <m/>
        <n v="2500000.0"/>
        <n v="250000.0"/>
      </sharedItems>
    </cacheField>
    <cacheField name="Repasse Financeiro Realizado?" numFmtId="0">
      <sharedItems>
        <s v="SIM"/>
        <s v="NÃO"/>
      </sharedItems>
    </cacheField>
    <cacheField name="Valor Já Repassado (MTur)" numFmtId="166">
      <sharedItems containsString="0" containsBlank="1" containsNumber="1" containsInteger="1">
        <n v="300000.0"/>
        <n v="5000000.0"/>
        <n v="330000.0"/>
        <n v="4000000.0"/>
        <n v="500000.0"/>
        <m/>
        <n v="450000.0"/>
        <n v="400000.0"/>
      </sharedItems>
    </cacheField>
    <cacheField name="Saiu das Ressalvas?" numFmtId="0">
      <sharedItems>
        <s v="SIM"/>
        <s v="NÃO"/>
      </sharedItems>
    </cacheField>
    <cacheField name="Termo Aditivo Assinado?" numFmtId="0">
      <sharedItems>
        <s v="NÃO"/>
        <s v="SIM"/>
      </sharedItems>
    </cacheField>
    <cacheField name="Motivo da Permanência nas Ressalvas" numFmtId="0">
      <sharedItems containsBlank="1">
        <s v="NT E TA EM ANALISE ALDO"/>
        <m/>
        <s v="IMPEDIMENTO TÉCNICO"/>
        <s v="pedi para ajustarem o atestado de capacidade tecnica "/>
        <s v="Em Complementação"/>
        <s v="Enviado para analise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T13" sheet="Termo de Fomento"/>
  </cacheSource>
  <cacheFields>
    <cacheField name="Ano" numFmtId="0">
      <sharedItems containsSemiMixedTypes="0" containsString="0" containsNumber="1" containsInteger="1">
        <n v="2024.0"/>
        <n v="2025.0"/>
        <n v="2026.0"/>
      </sharedItems>
    </cacheField>
    <cacheField name="Nome do proponente" numFmtId="0">
      <sharedItems>
        <s v="Associação Brasileira da Indústria de Hotéis do Rio Grande do Norte - ABIH/RN"/>
        <s v="INSTITUTO NACIONAL DE PARCERIAS PUBLICAS - INPP"/>
        <s v="INSTITUTO SOCIAL DE CAPELANIA EDUCACIONAL E CULTURAL DO MARANHAO ISCEC MA"/>
        <s v="INSTITUTO CONEXAO"/>
        <s v="INSTITUTO RESGATE ONG ESCOLA VOLUNTARIA AGRICOLA"/>
        <s v="INSTITUTO FUTURE DE JUVENTUDE PROMOÇÃO TURISMO"/>
        <s v="INSTITUTO SOMAR SOLUÇÃO BRASIL"/>
        <s v="ASSOCIAÇÃO CONSTRUIR DE ASSISTENCIA SOCIAL"/>
        <s v="LIGA BRASILEIRA DE CLUBES DE BOXE"/>
        <s v="ADEMINAS AGENCIA DE DESENVOLVIMENTO ECONOMICO E SOCIAL DO ESTADO DE MINAS GERAIS"/>
        <s v="ABRASOCIAL ASSOCIACAO BRASILEIRA SERVICOS SOCIAIS - CGTURES"/>
      </sharedItems>
    </cacheField>
    <cacheField name="UF do Proponente" numFmtId="0">
      <sharedItems>
        <s v="RN"/>
        <s v="DF"/>
        <s v="MA"/>
        <s v="RJ"/>
        <s v="CE"/>
        <s v="MG"/>
      </sharedItems>
    </cacheField>
    <cacheField name="Instrumento" numFmtId="0">
      <sharedItems containsBlank="1">
        <s v="Termo de Fomento nº 971418/2024"/>
        <s v="Termo de Fomento nº 988679/2025"/>
        <s v="Termo de Fomento nº 988537/2025"/>
        <s v="Termo de Fomento nº 987800/2025"/>
        <s v="Termo de Fomento nº 981884/2025"/>
        <s v="Termo de Fomento nº 982190/2025"/>
        <s v="Termo de Fomento nº 981981/2025"/>
        <s v="Termo de Fomento nº 982185/2025"/>
        <m/>
        <s v="Termo de Fomento nº 7AAAJN/2026"/>
        <s v="Termo de Fomento nº 999084/2026"/>
      </sharedItems>
    </cacheField>
    <cacheField name="Número da Proposta" numFmtId="0">
      <sharedItems>
        <s v="035534/2024"/>
        <s v="065987/2025"/>
        <s v="065935/2025"/>
        <s v="065398/2025"/>
        <s v="057787/2025"/>
        <s v="048761/2025"/>
        <s v="047523/2025"/>
        <s v="045968/2025"/>
        <s v="026743/2026"/>
        <s v="027839/2026"/>
        <s v="011309/2026"/>
      </sharedItems>
    </cacheField>
    <cacheField name="Número do processo SEI" numFmtId="0">
      <sharedItems>
        <s v="72031.009417/2024-67"/>
        <s v="72031.011036/2025-29"/>
        <s v="72031.011033/2025-95"/>
        <s v="72031.010787/2025-28"/>
        <s v="72031.008882/2025-61"/>
        <s v="72031.007746/2025-54"/>
        <s v="72031.007747/2025-07"/>
        <s v="72031.007749/2025-98"/>
        <s v="72031.007306/2026-88"/>
        <s v="72031.005809/2026-19"/>
        <s v="72031.005102/2026-11"/>
      </sharedItems>
    </cacheField>
    <cacheField name="Objeto" numFmtId="0">
      <sharedItems>
        <s v="Promover formação profissional, oportunizando o desenvolvimento do turismo local, a sustentabilidade turística, impulsionando o crescimento econômico e sustentável, do turismo e da cultura, do estado do Rio Grande do Norte."/>
        <s v="Realização do projeto Qualifica Turismo"/>
        <s v="Realização de Cursos de Qualificação voltados a prestadores de serviços turísticos."/>
        <s v="Implementação do Projeto Rio Destino 360 no Estado do Rio de Janeiro."/>
        <s v="Realização de Cursos de Qualificação Profissional voltados a prestadores de serviços dos setores turísticos do Estado do Maranhão."/>
        <s v="Realizar a qualificação para os profissionais da área de turismo de eventos"/>
        <s v="Realização de cursos de qualificação profissional voltados a prestadores de serviços turísticos."/>
        <s v="Realização de cursos de qualificação profissional voltados a prestadores de serviços turísticos nos municípios de Guapimirim e Búzios – RJ."/>
        <s v="Execução do projeto Turismo em Movimento: Capacitação para o Turismo Esportivo no Rio de Janeiro, destinado à capacitação gratuita de 450 pessoas, de ambos os sexos, com idade entre 18 e 45 anos, para atuação na cadeia do turismo esportivo, com foco na qu"/>
        <s v="IMPLEMENTAÇÃO DE PROGRAMA DE QUALIFICAÇÃO PROFISSIONAL AOS PROFISSIONAIS DE ATENDIMENTO DO RIO DE JANEIRO"/>
      </sharedItems>
    </cacheField>
    <cacheField name="Modalidade" numFmtId="0">
      <sharedItems>
        <s v="RP6"/>
        <s v="RP8"/>
      </sharedItems>
    </cacheField>
    <cacheField name="Código do Programa" numFmtId="0">
      <sharedItems containsSemiMixedTypes="0" containsString="0" containsNumber="1" containsInteger="1">
        <n v="5.400020240014E12"/>
        <n v="5.400020250016E12"/>
        <n v="5.400020260023E12"/>
        <n v="5.400020260009E12"/>
      </sharedItems>
    </cacheField>
    <cacheField name="Parlamentar Solicitante" numFmtId="0">
      <sharedItems>
        <s v="Rogério Marinho"/>
        <s v="Doutor Luizinho"/>
        <s v="Pedro Lucas Fernandes"/>
        <s v="Otoni de Paula"/>
        <s v="Dayany Bittencourt"/>
        <s v="Murillo Gouvea"/>
        <s v="Juninho do Pneu"/>
        <s v="DR. Flavio Campos Ferreira"/>
        <s v="Zé Vitor"/>
        <s v="Marcelo Crivella"/>
      </sharedItems>
    </cacheField>
    <cacheField name="Data Início de Vigência" numFmtId="164">
      <sharedItems containsSemiMixedTypes="0" containsDate="1" containsString="0">
        <d v="2024-12-31T00:00:00Z"/>
        <d v="2025-12-31T00:00:00Z"/>
        <d v="2025-12-30T00:00:00Z"/>
        <d v="2026-06-05T00:00:00Z"/>
        <d v="2026-07-19T00:00:00Z"/>
        <d v="2026-06-01T00:00:00Z"/>
      </sharedItems>
    </cacheField>
    <cacheField name="Data Término de Vigência Atual" numFmtId="165">
      <sharedItems containsSemiMixedTypes="0" containsDate="1" containsString="0">
        <d v="2026-10-22T00:00:00Z"/>
        <d v="2027-05-31T00:00:00Z"/>
        <d v="2027-05-04T00:00:00Z"/>
        <d v="2027-01-05T00:00:00Z"/>
        <d v="2027-04-05T00:00:00Z"/>
        <d v="2026-11-30T00:00:00Z"/>
        <d v="2026-10-01T00:00:00Z"/>
        <d v="2027-06-04T00:00:00Z"/>
        <d v="2027-07-18T00:00:00Z"/>
        <d v="2027-06-01T00:00:00Z"/>
      </sharedItems>
    </cacheField>
    <cacheField name="Valor de Repasse da Proposta" numFmtId="166">
      <sharedItems containsSemiMixedTypes="0" containsString="0" containsNumber="1" containsInteger="1">
        <n v="300000.0"/>
        <n v="5000000.0"/>
        <n v="330000.0"/>
        <n v="4000000.0"/>
        <n v="500000.0"/>
        <n v="450000.0"/>
        <n v="400000.0"/>
        <n v="2500000.0"/>
        <n v="250000.0"/>
      </sharedItems>
    </cacheField>
    <cacheField name="Valor Global" numFmtId="166">
      <sharedItems containsSemiMixedTypes="0" containsString="0" containsNumber="1" containsInteger="1">
        <n v="300000.0"/>
        <n v="5000000.0"/>
        <n v="330000.0"/>
        <n v="4000000.0"/>
        <n v="500000.0"/>
        <n v="450000.0"/>
        <n v="400000.0"/>
        <n v="2500000.0"/>
        <n v="250000.0"/>
      </sharedItems>
    </cacheField>
    <cacheField name="Valor do Empenho" numFmtId="166">
      <sharedItems containsString="0" containsBlank="1" containsNumber="1" containsInteger="1">
        <n v="300000.0"/>
        <n v="5000000.0"/>
        <n v="330000.0"/>
        <n v="4000000.0"/>
        <n v="500000.0"/>
        <n v="450000.0"/>
        <n v="400000.0"/>
        <m/>
        <n v="2500000.0"/>
        <n v="250000.0"/>
      </sharedItems>
    </cacheField>
    <cacheField name="Repasse Financeiro Realizado?" numFmtId="0">
      <sharedItems>
        <s v="SIM"/>
        <s v="NÃO"/>
      </sharedItems>
    </cacheField>
    <cacheField name="Valor Já Repassado (MTur)" numFmtId="166">
      <sharedItems containsString="0" containsBlank="1" containsNumber="1" containsInteger="1">
        <n v="300000.0"/>
        <n v="5000000.0"/>
        <n v="330000.0"/>
        <n v="4000000.0"/>
        <n v="500000.0"/>
        <m/>
        <n v="450000.0"/>
        <n v="400000.0"/>
      </sharedItems>
    </cacheField>
    <cacheField name="Saiu das Ressalvas?" numFmtId="0">
      <sharedItems>
        <s v="SIM"/>
        <s v="NÃO"/>
      </sharedItems>
    </cacheField>
    <cacheField name="Termo Aditivo Assinado?" numFmtId="0">
      <sharedItems>
        <s v="NÃO"/>
        <s v="SIM"/>
      </sharedItems>
    </cacheField>
    <cacheField name="Motivo da Permanência nas Ressalvas" numFmtId="0">
      <sharedItems containsBlank="1">
        <s v="NT E TA EM ANALISE ALDO"/>
        <m/>
        <s v="IMPEDIMENTO TÉCNICO"/>
        <s v="pedi para ajustarem o atestado de capacidade tecnica "/>
        <s v="Em Complementação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O6" sheet="TED"/>
  </cacheSource>
  <cacheFields>
    <cacheField name="Ano" numFmtId="0">
      <sharedItems containsSemiMixedTypes="0" containsString="0" containsNumber="1" containsInteger="1">
        <n v="2025.0"/>
      </sharedItems>
    </cacheField>
    <cacheField name="Nome do proponente" numFmtId="0">
      <sharedItems>
        <s v="INSTITUTO FEDERAL DO PIAUÍ"/>
        <s v="INSTITUTO FEDERAL DO PIAUÍ - CGST"/>
        <s v="Universidade Federal de Brasília"/>
        <s v="Instituto Federal de Educação, Ciência e Tecnologia do Maranhão"/>
      </sharedItems>
    </cacheField>
    <cacheField name="UF do Proponente" numFmtId="0">
      <sharedItems>
        <s v="PI"/>
        <s v="MA"/>
      </sharedItems>
    </cacheField>
    <cacheField name="Instrumento" numFmtId="0">
      <sharedItems>
        <s v=" TED nº  987841/2025"/>
        <s v=" TED nº 990795/2025"/>
        <s v=" TED nº 985434/2025"/>
        <s v=" TED nº 988799/2025"/>
      </sharedItems>
    </cacheField>
    <cacheField name="Número do processo SEI" numFmtId="0">
      <sharedItems>
        <s v="72031.009540/2025-69"/>
        <s v="72031.011729/2025-11"/>
        <s v="72031.003454/2025-42"/>
        <s v="72031.009969/2025-56"/>
      </sharedItems>
    </cacheField>
    <cacheField name="Modalidade" numFmtId="0">
      <sharedItems>
        <s v="RP8"/>
      </sharedItems>
    </cacheField>
    <cacheField name="Parlamentar Solicitante" numFmtId="0">
      <sharedItems>
        <s v="Julio Arcoverde"/>
      </sharedItems>
    </cacheField>
    <cacheField name="Data Início de Vigência" numFmtId="165">
      <sharedItems containsSemiMixedTypes="0" containsDate="1" containsString="0">
        <d v="2025-12-04T00:00:00Z"/>
        <d v="2025-12-31T00:00:00Z"/>
        <d v="2025-11-04T00:00:00Z"/>
        <d v="2025-12-12T00:00:00Z"/>
      </sharedItems>
    </cacheField>
    <cacheField name="Data Término de Vigência Atual" numFmtId="165">
      <sharedItems containsSemiMixedTypes="0" containsDate="1" containsString="0">
        <d v="2027-06-05T00:00:00Z"/>
        <d v="2027-01-12T00:00:00Z"/>
        <d v="2027-04-30T00:00:00Z"/>
        <d v="2026-12-12T00:00:00Z"/>
      </sharedItems>
    </cacheField>
    <cacheField name="Valor Total do Plano de Ação" numFmtId="166">
      <sharedItems containsSemiMixedTypes="0" containsString="0" containsNumber="1" containsInteger="1">
        <n v="5000000.0"/>
        <n v="4002240.0"/>
        <n v="1.25E7"/>
      </sharedItems>
    </cacheField>
    <cacheField name="Valor Global" numFmtId="166">
      <sharedItems containsSemiMixedTypes="0" containsString="0" containsNumber="1" containsInteger="1">
        <n v="5000000.0"/>
        <n v="4002240.0"/>
        <n v="1.25E7"/>
      </sharedItems>
    </cacheField>
    <cacheField name="Repasse Financeiro Realizado?" numFmtId="0">
      <sharedItems>
        <s v="SIM"/>
      </sharedItems>
    </cacheField>
    <cacheField name="Valor Já Repassado (MTur)" numFmtId="166">
      <sharedItems containsSemiMixedTypes="0" containsString="0" containsNumber="1" containsInteger="1">
        <n v="5000000.0"/>
        <n v="3500000.0"/>
        <n v="1.25E7"/>
      </sharedItems>
    </cacheField>
    <cacheField name="Situação" numFmtId="0">
      <sharedItems>
        <s v="Em execução"/>
      </sharedItems>
    </cacheField>
    <cacheField name="Observações" numFmtId="0">
      <sharedItems containsBlank="1">
        <m/>
        <s v="Saldo de R$ 502.240,00 aguardando indicação de recurs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Resumo de Convênios" cacheId="0" dataCaption="" compact="0" compactData="0">
  <location ref="A1:G33" firstHeaderRow="0" firstDataRow="4" firstDataCol="0"/>
  <pivotFields>
    <pivotField name="Ano" axis="axisRow" compact="0" outline="0" multipleItemSelectionAllowed="1" showAll="0" sortType="ascending" defaultSubtotal="0">
      <items>
        <item h="1" x="3"/>
        <item h="1" x="0"/>
        <item x="1"/>
        <item x="2"/>
      </items>
    </pivotField>
    <pivotField name="Nome do proponente" axis="axisRow" compact="0" outline="0" multipleItemSelectionAllowed="1" showAll="0" sortType="ascending" defaultSubtotal="0">
      <items>
        <item x="32"/>
        <item x="20"/>
        <item x="11"/>
        <item x="29"/>
        <item x="22"/>
        <item x="31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strumento" axis="axisRow" compact="0" outline="0" multipleItemSelectionAllowed="1" showAll="0" sortType="ascending">
      <items>
        <item x="34"/>
        <item x="32"/>
        <item x="31"/>
        <item x="33"/>
        <item x="3"/>
        <item x="0"/>
        <item x="2"/>
        <item x="1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8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  <item t="default"/>
      </items>
    </pivotField>
    <pivotField name="Número da Propo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t="default"/>
      </items>
    </pivotField>
    <pivotField name="Código do Program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a Início de Vigênci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a Término de Vigência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lor de Repasse da Propost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lor Glob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 do Empenho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passe Financeiro Realizado?" compact="0" outline="0" multipleItemSelectionAllowed="1" showAll="0">
      <items>
        <item x="0"/>
        <item x="1"/>
        <item x="2"/>
        <item t="default"/>
      </items>
    </pivotField>
    <pivotField name="Valor Já Repassado (MTur)" dataField="1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aiu da Cláusula Suspensiva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rmo Aditivo Assinad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tivo da Permanência na Cláusula Suspens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0"/>
    <field x="1"/>
    <field x="3"/>
  </rowFields>
  <colFields>
    <field x="-2"/>
  </colFields>
  <dataFields>
    <dataField name="Valor Global" fld="13" baseField="0"/>
    <dataField name="Valor de Repasse da Proposta" fld="12" baseField="0"/>
    <dataField name="Valor do Empenho" fld="14" baseField="0"/>
    <dataField name="Valor Já Repassado (MTur)" fld="16" baseField="0"/>
  </dataFields>
</pivotTableDefinition>
</file>

<file path=xl/pivotTables/pivotTable2.xml><?xml version="1.0" encoding="utf-8"?>
<pivotTableDefinition xmlns="http://schemas.openxmlformats.org/spreadsheetml/2006/main" name="Resumo de Convênios 2" cacheId="0" dataCaption="" rowGrandTotals="0" compact="0" compactData="0">
  <location ref="I1:M32" firstHeaderRow="0" firstDataRow="4" firstDataCol="0"/>
  <pivotFields>
    <pivotField name="Ano" axis="axisRow" compact="0" outline="0" multipleItemSelectionAllowed="1" showAll="0" sortType="ascending" defaultSubtotal="0">
      <items>
        <item h="1" x="3"/>
        <item h="1" x="0"/>
        <item x="1"/>
        <item x="2"/>
      </items>
    </pivotField>
    <pivotField name="Nome do proponente" axis="axisRow" compact="0" outline="0" multipleItemSelectionAllowed="1" showAll="0" sortType="ascending" defaultSubtotal="0">
      <items>
        <item x="32"/>
        <item x="20"/>
        <item x="11"/>
        <item x="29"/>
        <item x="22"/>
        <item x="31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strumento" axis="axisRow" compact="0" outline="0" multipleItemSelectionAllowed="1" showAll="0" sortType="ascending" defaultSubtotal="0">
      <items>
        <item x="34"/>
        <item x="32"/>
        <item x="31"/>
        <item x="33"/>
        <item x="3"/>
        <item x="0"/>
        <item x="2"/>
        <item x="1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8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</items>
    </pivotField>
    <pivotField name="Número da Propo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t="default"/>
      </items>
    </pivotField>
    <pivotField name="Código do Program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a Início de Vigênci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a Término de Vigência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lor de Repasse da Propos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lor Glob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 do Empenh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passe Financeiro Realizado?" compact="0" outline="0" multipleItemSelectionAllowed="1" showAll="0">
      <items>
        <item x="0"/>
        <item x="1"/>
        <item x="2"/>
        <item t="default"/>
      </items>
    </pivotField>
    <pivotField name="Valor Já Repassado (MTur)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aiu da Cláusula Suspensiva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rmo Aditivo Assinad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tivo da Permanência na Cláusula Suspensiva" axis="axisRow" compact="0" outline="0" multipleItemSelectionAllowed="1" showAll="0" sortType="ascending">
      <items>
        <item x="0"/>
        <item x="9"/>
        <item x="10"/>
        <item x="14"/>
        <item x="11"/>
        <item x="15"/>
        <item x="7"/>
        <item x="5"/>
        <item x="12"/>
        <item x="6"/>
        <item x="1"/>
        <item x="13"/>
        <item x="2"/>
        <item x="8"/>
        <item x="3"/>
        <item x="4"/>
        <item t="default"/>
      </items>
    </pivotField>
  </pivotFields>
  <rowFields>
    <field x="0"/>
    <field x="1"/>
    <field x="3"/>
    <field x="19"/>
  </rowFields>
</pivotTableDefinition>
</file>

<file path=xl/pivotTables/pivotTable3.xml><?xml version="1.0" encoding="utf-8"?>
<pivotTableDefinition xmlns="http://schemas.openxmlformats.org/spreadsheetml/2006/main" name="Resumo de Convênios 3" cacheId="0" dataCaption="" rowGrandTotals="0" compact="0" compactData="0">
  <location ref="O1:S36" firstHeaderRow="0" firstDataRow="4" firstDataCol="0"/>
  <pivotFields>
    <pivotField name="Ano" axis="axisRow" compact="0" outline="0" multipleItemSelectionAllowed="1" showAll="0" sortType="ascending" defaultSubtotal="0">
      <items>
        <item h="1" x="3"/>
        <item x="0"/>
        <item x="1"/>
        <item x="2"/>
      </items>
    </pivotField>
    <pivotField name="Nome do proponente" axis="axisRow" compact="0" outline="0" multipleItemSelectionAllowed="1" showAll="0" sortType="ascending" defaultSubtotal="0">
      <items>
        <item x="32"/>
        <item x="20"/>
        <item x="11"/>
        <item x="29"/>
        <item x="22"/>
        <item x="31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Instrumento" axis="axisRow" compact="0" outline="0" multipleItemSelectionAllowed="1" showAll="0" sortType="ascending">
      <items>
        <item x="34"/>
        <item x="32"/>
        <item x="31"/>
        <item x="33"/>
        <item x="3"/>
        <item x="0"/>
        <item x="2"/>
        <item x="1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8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  <item t="default"/>
      </items>
    </pivotField>
    <pivotField name="Número da Propo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dalidade" compact="0" outline="0" multipleItemSelectionAllowed="1" showAll="0">
      <items>
        <item x="0"/>
        <item x="1"/>
        <item x="2"/>
        <item x="3"/>
        <item t="default"/>
      </items>
    </pivotField>
    <pivotField name="Código do Program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a Início de Vigênci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Data Término de Vigência Atu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lor de Repasse da Propos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Valor Glob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or do Empenh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passe Financeiro Realizado?" compact="0" outline="0" multipleItemSelectionAllowed="1" showAll="0">
      <items>
        <item x="0"/>
        <item x="1"/>
        <item x="2"/>
        <item t="default"/>
      </items>
    </pivotField>
    <pivotField name="Valor Já Repassado (MTur)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aiu da Cláusula Suspensiva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rmo Aditivo Assinado?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tivo da Permanência na Cláusula Suspens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0"/>
    <field x="1"/>
    <field x="3"/>
  </rowFields>
  <colFields>
    <field x="-2"/>
  </colFields>
  <dataFields>
    <dataField name="Data Início de Vigência" fld="10" subtotal="max" baseField="0"/>
    <dataField name="Data Término de Vigência" fld="11" subtotal="min" baseField="0"/>
  </dataFields>
</pivotTableDefinition>
</file>

<file path=xl/pivotTables/pivotTable4.xml><?xml version="1.0" encoding="utf-8"?>
<pivotTableDefinition xmlns="http://schemas.openxmlformats.org/spreadsheetml/2006/main" name="Resumo de Convênios 4" cacheId="1" dataCaption="" rowGrandTotals="0" compact="0" compactData="0">
  <location ref="V1:Z31" firstHeaderRow="0" firstDataRow="4" firstDataCol="0"/>
  <pivotFields>
    <pivotField name="Ano" axis="axisRow" compact="0" outline="0" multipleItemSelectionAllowed="1" showAll="0" sortType="ascending" defaultSubtotal="0">
      <items>
        <item h="1" x="0"/>
        <item x="1"/>
        <item x="2"/>
      </items>
    </pivotField>
    <pivotField name="Nome do proponente" axis="axisRow" compact="0" outline="0" multipleItemSelectionAllowed="1" showAll="0" sortType="ascending">
      <items>
        <item x="20"/>
        <item x="11"/>
        <item x="29"/>
        <item x="22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  <item t="default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Instrumento" axis="axisRow" compact="0" outline="0" multipleItemSelectionAllowed="1" showAll="0" sortType="ascending" defaultSubtotal="0">
      <items>
        <item x="32"/>
        <item x="31"/>
        <item x="33"/>
        <item x="3"/>
        <item x="0"/>
        <item x="2"/>
        <item x="1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8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</items>
    </pivotField>
    <pivotField name="Número da Propo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odalidade" compact="0" outline="0" multipleItemSelectionAllowed="1" showAll="0">
      <items>
        <item x="0"/>
        <item x="1"/>
        <item x="2"/>
        <item t="default"/>
      </items>
    </pivotField>
    <pivotField name="Código do Programa" axis="axisRow" compact="0" outline="0" multipleItemSelectionAllowed="1" showAll="0" sortType="ascending" defaultSubtotal="0">
      <items>
        <item x="0"/>
        <item x="1"/>
        <item x="2"/>
        <item x="3"/>
        <item x="5"/>
        <item x="4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ata Início de Vigênci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a Término de Vigência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Valor de Repasse da Propos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Valor Glob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Valor do Empenh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Repasse Financeiro Realizado?" compact="0" outline="0" multipleItemSelectionAllowed="1" showAll="0">
      <items>
        <item x="0"/>
        <item x="1"/>
        <item t="default"/>
      </items>
    </pivotField>
    <pivotField name="Valor Já Repassado (MTur)" compact="0" numFmtId="166" outline="0" multipleItemSelectionAllowed="1" showAll="0">
      <items>
        <item x="0"/>
        <item x="1"/>
        <item x="2"/>
        <item x="3"/>
        <item x="4"/>
        <item t="default"/>
      </items>
    </pivotField>
    <pivotField name="Saiu da Cláusula Suspensiva?" compact="0" outline="0" multipleItemSelectionAllowed="1" showAll="0">
      <items>
        <item x="0"/>
        <item x="1"/>
        <item x="2"/>
        <item x="3"/>
        <item t="default"/>
      </items>
    </pivotField>
    <pivotField name="Termo Aditivo Assinado?" compact="0" outline="0" multipleItemSelectionAllowed="1" showAll="0">
      <items>
        <item x="0"/>
        <item x="1"/>
        <item x="2"/>
        <item x="3"/>
        <item t="default"/>
      </items>
    </pivotField>
    <pivotField name="Motivo da Permanência na Cláusula Suspensi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0"/>
    <field x="8"/>
    <field x="3"/>
    <field x="1"/>
  </rowFields>
</pivotTableDefinition>
</file>

<file path=xl/pivotTables/pivotTable5.xml><?xml version="1.0" encoding="utf-8"?>
<pivotTableDefinition xmlns="http://schemas.openxmlformats.org/spreadsheetml/2006/main" name="Resumo de Fomentos" cacheId="2" dataCaption="" compact="0" compactData="0">
  <location ref="A1:G13" firstHeaderRow="0" firstDataRow="4" firstDataCol="0"/>
  <pivotFields>
    <pivotField name="Ano" axis="axisRow" compact="0" outline="0" multipleItemSelectionAllowed="1" showAll="0" sortType="ascending" defaultSubtotal="0">
      <items>
        <item h="1" x="0"/>
        <item x="1"/>
        <item x="2"/>
      </items>
    </pivotField>
    <pivotField name="Nome do proponente" axis="axisRow" compact="0" outline="0" multipleItemSelectionAllowed="1" showAll="0" sortType="ascending" defaultSubtotal="0">
      <items>
        <item x="10"/>
        <item x="9"/>
        <item x="0"/>
        <item x="7"/>
        <item x="3"/>
        <item x="5"/>
        <item x="1"/>
        <item x="4"/>
        <item x="2"/>
        <item x="11"/>
        <item x="6"/>
        <item x="8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stru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Número da Proposta" axis="axisRow" compact="0" outline="0" multipleItemSelectionAllowed="1" showAll="0" sortType="ascending">
      <items>
        <item x="10"/>
        <item x="8"/>
        <item x="9"/>
        <item x="11"/>
        <item x="0"/>
        <item x="7"/>
        <item x="6"/>
        <item x="5"/>
        <item x="4"/>
        <item x="3"/>
        <item x="2"/>
        <item x="1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dalidade" compact="0" outline="0" multipleItemSelectionAllowed="1" showAll="0">
      <items>
        <item x="0"/>
        <item x="1"/>
        <item t="default"/>
      </items>
    </pivotField>
    <pivotField name="Código do Programa" compact="0" outline="0" multipleItemSelectionAllowed="1" showAll="0">
      <items>
        <item x="0"/>
        <item x="1"/>
        <item x="2"/>
        <item x="3"/>
        <item t="default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a Início de Vigência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a Término de Vigência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Valor de Repasse da Proposta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Global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do Empenho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passe Financeiro Realizado?" compact="0" outline="0" multipleItemSelectionAllowed="1" showAll="0">
      <items>
        <item x="0"/>
        <item x="1"/>
        <item t="default"/>
      </items>
    </pivotField>
    <pivotField name="Valor Já Repassado (MTur)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iu das Ressalvas?" compact="0" outline="0" multipleItemSelectionAllowed="1" showAll="0">
      <items>
        <item x="0"/>
        <item x="1"/>
        <item t="default"/>
      </items>
    </pivotField>
    <pivotField name="Termo Aditivo Assinado?" compact="0" outline="0" multipleItemSelectionAllowed="1" showAll="0">
      <items>
        <item x="0"/>
        <item x="1"/>
        <item t="default"/>
      </items>
    </pivotField>
    <pivotField name="Motivo da Permanência nas Ressalva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0"/>
    <field x="1"/>
    <field x="4"/>
  </rowFields>
  <colFields>
    <field x="-2"/>
  </colFields>
  <dataFields>
    <dataField name="Valor Global" fld="13" baseField="0"/>
    <dataField name="Valor de Repasse da Proposta" fld="12" baseField="0"/>
    <dataField name="Valor do Empenho" fld="14" baseField="0"/>
    <dataField name="Valor Já Repassado (MTur)" fld="16" baseField="0"/>
  </dataFields>
</pivotTableDefinition>
</file>

<file path=xl/pivotTables/pivotTable6.xml><?xml version="1.0" encoding="utf-8"?>
<pivotTableDefinition xmlns="http://schemas.openxmlformats.org/spreadsheetml/2006/main" name="Resumo de Fomentos 2" cacheId="3" dataCaption="" rowGrandTotals="0" compact="0" compactData="0">
  <location ref="J1:N11" firstHeaderRow="0" firstDataRow="4" firstDataCol="0"/>
  <pivotFields>
    <pivotField name="Ano" axis="axisRow" compact="0" outline="0" multipleItemSelectionAllowed="1" showAll="0" sortType="ascending" defaultSubtotal="0">
      <items>
        <item h="1" x="0"/>
        <item x="1"/>
        <item x="2"/>
      </items>
    </pivotField>
    <pivotField name="Nome do proponente" axis="axisRow" compact="0" outline="0" multipleItemSelectionAllowed="1" showAll="0" sortType="ascending" defaultSubtotal="0">
      <items>
        <item x="10"/>
        <item x="9"/>
        <item x="0"/>
        <item x="7"/>
        <item x="3"/>
        <item x="5"/>
        <item x="1"/>
        <item x="4"/>
        <item x="2"/>
        <item x="6"/>
        <item x="8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strumento" axis="axisRow" compact="0" outline="0" multipleItemSelectionAllowed="1" showAll="0" sortType="ascending" defaultSubtotal="0">
      <items>
        <item x="8"/>
        <item x="9"/>
        <item x="0"/>
        <item x="4"/>
        <item x="6"/>
        <item x="7"/>
        <item x="5"/>
        <item x="3"/>
        <item x="2"/>
        <item x="1"/>
        <item x="10"/>
      </items>
    </pivotField>
    <pivotField name="Número da Propo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dalidade" compact="0" outline="0" multipleItemSelectionAllowed="1" showAll="0">
      <items>
        <item x="0"/>
        <item x="1"/>
        <item t="default"/>
      </items>
    </pivotField>
    <pivotField name="Código do Programa" compact="0" outline="0" multipleItemSelectionAllowed="1" showAll="0">
      <items>
        <item x="0"/>
        <item x="1"/>
        <item x="2"/>
        <item x="3"/>
        <item t="default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a Início de Vigência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a Término de Vigência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or de Repasse da Propos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Glob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do Empenh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passe Financeiro Realizado?" compact="0" outline="0" multipleItemSelectionAllowed="1" showAll="0">
      <items>
        <item x="0"/>
        <item x="1"/>
        <item t="default"/>
      </items>
    </pivotField>
    <pivotField name="Valor Já Repassado (MTur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iu das Ressalvas?" compact="0" outline="0" multipleItemSelectionAllowed="1" showAll="0">
      <items>
        <item x="0"/>
        <item x="1"/>
        <item t="default"/>
      </items>
    </pivotField>
    <pivotField name="Termo Aditivo Assinado?" compact="0" outline="0" multipleItemSelectionAllowed="1" showAll="0">
      <items>
        <item x="0"/>
        <item x="1"/>
        <item t="default"/>
      </items>
    </pivotField>
    <pivotField name="Motivo da Permanência nas Ressalvas" axis="axisRow" compact="0" outline="0" multipleItemSelectionAllowed="1" showAll="0" sortType="ascending">
      <items>
        <item x="1"/>
        <item x="4"/>
        <item x="2"/>
        <item x="0"/>
        <item x="3"/>
        <item t="default"/>
      </items>
    </pivotField>
  </pivotFields>
  <rowFields>
    <field x="0"/>
    <field x="1"/>
    <field x="3"/>
    <field x="19"/>
  </rowFields>
</pivotTableDefinition>
</file>

<file path=xl/pivotTables/pivotTable7.xml><?xml version="1.0" encoding="utf-8"?>
<pivotTableDefinition xmlns="http://schemas.openxmlformats.org/spreadsheetml/2006/main" name="Resumo de Fomentos 3" cacheId="3" dataCaption="" rowGrandTotals="0" compact="0" compactData="0">
  <location ref="Q1:U12" firstHeaderRow="0" firstDataRow="4" firstDataCol="0"/>
  <pivotFields>
    <pivotField name="Ano" axis="axisRow" compact="0" outline="0" multipleItemSelectionAllowed="1" showAll="0" sortType="ascending" defaultSubtotal="0">
      <items>
        <item x="0"/>
        <item x="1"/>
        <item x="2"/>
      </items>
    </pivotField>
    <pivotField name="Nome do proponente" axis="axisRow" compact="0" outline="0" multipleItemSelectionAllowed="1" showAll="0" sortType="ascending" defaultSubtotal="0">
      <items>
        <item x="10"/>
        <item x="9"/>
        <item x="0"/>
        <item x="7"/>
        <item x="3"/>
        <item x="5"/>
        <item x="1"/>
        <item x="4"/>
        <item x="2"/>
        <item x="6"/>
        <item x="8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strumento" axis="axisRow" compact="0" outline="0" multipleItemSelectionAllowed="1" showAll="0" sortType="ascending">
      <items>
        <item x="8"/>
        <item x="9"/>
        <item x="0"/>
        <item x="4"/>
        <item x="6"/>
        <item x="7"/>
        <item x="5"/>
        <item x="3"/>
        <item x="2"/>
        <item x="1"/>
        <item x="10"/>
        <item t="default"/>
      </items>
    </pivotField>
    <pivotField name="Número da Propo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dalidade" compact="0" outline="0" multipleItemSelectionAllowed="1" showAll="0">
      <items>
        <item x="0"/>
        <item x="1"/>
        <item t="default"/>
      </items>
    </pivotField>
    <pivotField name="Código do Programa" compact="0" outline="0" multipleItemSelectionAllowed="1" showAll="0">
      <items>
        <item x="0"/>
        <item x="1"/>
        <item x="2"/>
        <item x="3"/>
        <item t="default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a Início de Vigência" dataField="1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a Término de Vigência Atu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or de Repasse da Propos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Glob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do Empenh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passe Financeiro Realizado?" compact="0" outline="0" multipleItemSelectionAllowed="1" showAll="0">
      <items>
        <item x="0"/>
        <item x="1"/>
        <item t="default"/>
      </items>
    </pivotField>
    <pivotField name="Valor Já Repassado (MTur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iu das Ressalvas?" compact="0" outline="0" multipleItemSelectionAllowed="1" showAll="0">
      <items>
        <item x="0"/>
        <item x="1"/>
        <item t="default"/>
      </items>
    </pivotField>
    <pivotField name="Termo Aditivo Assinado?" compact="0" outline="0" multipleItemSelectionAllowed="1" showAll="0">
      <items>
        <item x="0"/>
        <item x="1"/>
        <item t="default"/>
      </items>
    </pivotField>
    <pivotField name="Motivo da Permanência nas Ressalva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1"/>
    <field x="3"/>
  </rowFields>
  <colFields>
    <field x="-2"/>
  </colFields>
  <dataFields>
    <dataField name="Data Início de Vigência" fld="10" subtotal="max" baseField="0"/>
    <dataField name="Data Término de Vigência" fld="11" subtotal="min" baseField="0"/>
  </dataFields>
</pivotTableDefinition>
</file>

<file path=xl/pivotTables/pivotTable8.xml><?xml version="1.0" encoding="utf-8"?>
<pivotTableDefinition xmlns="http://schemas.openxmlformats.org/spreadsheetml/2006/main" name="Resumo de Fomentos 4" cacheId="3" dataCaption="" rowGrandTotals="0" compact="0" compactData="0">
  <location ref="X1:AB12" firstHeaderRow="0" firstDataRow="4" firstDataCol="0"/>
  <pivotFields>
    <pivotField name="Ano" axis="axisRow" compact="0" outline="0" multipleItemSelectionAllowed="1" showAll="0" sortType="ascending" defaultSubtotal="0">
      <items>
        <item x="0"/>
        <item x="1"/>
        <item x="2"/>
      </items>
    </pivotField>
    <pivotField name="Nome do proponente" axis="axisRow" compact="0" outline="0" multipleItemSelectionAllowed="1" showAll="0" sortType="ascending">
      <items>
        <item x="10"/>
        <item x="9"/>
        <item x="0"/>
        <item x="7"/>
        <item x="3"/>
        <item x="5"/>
        <item x="1"/>
        <item x="4"/>
        <item x="2"/>
        <item x="6"/>
        <item x="8"/>
        <item t="default"/>
      </items>
    </pivotField>
    <pivotField name="UF do Proponen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strumento" axis="axisRow" compact="0" outline="0" multipleItemSelectionAllowed="1" showAll="0" sortType="ascending" defaultSubtotal="0">
      <items>
        <item x="8"/>
        <item x="9"/>
        <item x="0"/>
        <item x="4"/>
        <item x="6"/>
        <item x="7"/>
        <item x="5"/>
        <item x="3"/>
        <item x="2"/>
        <item x="1"/>
        <item x="10"/>
      </items>
    </pivotField>
    <pivotField name="Número da Propos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Obje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dalidade" compact="0" outline="0" multipleItemSelectionAllowed="1" showAll="0">
      <items>
        <item x="0"/>
        <item x="1"/>
        <item t="default"/>
      </items>
    </pivotField>
    <pivotField name="Código do Programa" axis="axisRow" compact="0" outline="0" multipleItemSelectionAllowed="1" showAll="0" sortType="ascending" defaultSubtotal="0">
      <items>
        <item x="0"/>
        <item x="1"/>
        <item x="3"/>
        <item x="2"/>
      </items>
    </pivotField>
    <pivotField name="Parlamentar Solicita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ata Início de Vigência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a Término de Vigência Atual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Valor de Repasse da Propost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Global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do Empenho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passe Financeiro Realizado?" compact="0" outline="0" multipleItemSelectionAllowed="1" showAll="0">
      <items>
        <item x="0"/>
        <item x="1"/>
        <item t="default"/>
      </items>
    </pivotField>
    <pivotField name="Valor Já Repassado (MTur)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iu das Ressalvas?" compact="0" outline="0" multipleItemSelectionAllowed="1" showAll="0">
      <items>
        <item x="0"/>
        <item x="1"/>
        <item t="default"/>
      </items>
    </pivotField>
    <pivotField name="Termo Aditivo Assinado?" compact="0" outline="0" multipleItemSelectionAllowed="1" showAll="0">
      <items>
        <item x="0"/>
        <item x="1"/>
        <item t="default"/>
      </items>
    </pivotField>
    <pivotField name="Motivo da Permanência nas Ressalvas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0"/>
    <field x="8"/>
    <field x="3"/>
    <field x="1"/>
  </rowFields>
</pivotTableDefinition>
</file>

<file path=xl/pivotTables/pivotTable9.xml><?xml version="1.0" encoding="utf-8"?>
<pivotTableDefinition xmlns="http://schemas.openxmlformats.org/spreadsheetml/2006/main" name="Tabela dinâmica 1" cacheId="4" dataCaption="" compact="0" compactData="0">
  <location ref="A1:C6" firstHeaderRow="0" firstDataRow="2" firstDataCol="0"/>
  <pivotFields>
    <pivotField name="Ano" compact="0" outline="0" multipleItemSelectionAllowed="1" showAll="0">
      <items>
        <item x="0"/>
        <item t="default"/>
      </items>
    </pivotField>
    <pivotField name="Nome do proponent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UF do Proponente" compact="0" outline="0" multipleItemSelectionAllowed="1" showAll="0">
      <items>
        <item x="0"/>
        <item x="1"/>
        <item t="default"/>
      </items>
    </pivotField>
    <pivotField name="Instrumento" compact="0" outline="0" multipleItemSelectionAllowed="1" showAll="0">
      <items>
        <item x="0"/>
        <item x="1"/>
        <item x="2"/>
        <item x="3"/>
        <item t="default"/>
      </items>
    </pivotField>
    <pivotField name="Número do processo SEI" compact="0" outline="0" multipleItemSelectionAllowed="1" showAll="0">
      <items>
        <item x="0"/>
        <item x="1"/>
        <item x="2"/>
        <item x="3"/>
        <item t="default"/>
      </items>
    </pivotField>
    <pivotField name="Modalidade" compact="0" outline="0" multipleItemSelectionAllowed="1" showAll="0">
      <items>
        <item x="0"/>
        <item t="default"/>
      </items>
    </pivotField>
    <pivotField name="Parlamentar Solicitante" compact="0" outline="0" multipleItemSelectionAllowed="1" showAll="0">
      <items>
        <item x="0"/>
        <item t="default"/>
      </items>
    </pivotField>
    <pivotField name="Data Início de Vigência" compact="0" numFmtId="165" outline="0" multipleItemSelectionAllowed="1" showAll="0">
      <items>
        <item x="0"/>
        <item x="1"/>
        <item x="2"/>
        <item x="3"/>
        <item t="default"/>
      </items>
    </pivotField>
    <pivotField name="Data Término de Vigência Atual" compact="0" numFmtId="165" outline="0" multipleItemSelectionAllowed="1" showAll="0">
      <items>
        <item x="0"/>
        <item x="1"/>
        <item x="2"/>
        <item x="3"/>
        <item t="default"/>
      </items>
    </pivotField>
    <pivotField name="Valor Total do Plano de Ação" compact="0" numFmtId="166" outline="0" multipleItemSelectionAllowed="1" showAll="0">
      <items>
        <item x="0"/>
        <item x="1"/>
        <item x="2"/>
        <item t="default"/>
      </items>
    </pivotField>
    <pivotField name="Valor Global" dataField="1" compact="0" numFmtId="166" outline="0" multipleItemSelectionAllowed="1" showAll="0">
      <items>
        <item x="0"/>
        <item x="1"/>
        <item x="2"/>
        <item t="default"/>
      </items>
    </pivotField>
    <pivotField name="Repasse Financeiro Realizado?" compact="0" outline="0" multipleItemSelectionAllowed="1" showAll="0">
      <items>
        <item x="0"/>
        <item t="default"/>
      </items>
    </pivotField>
    <pivotField name="Valor Já Repassado (MTur)" dataField="1" compact="0" numFmtId="166" outline="0" multipleItemSelectionAllowed="1" showAll="0">
      <items>
        <item x="0"/>
        <item x="1"/>
        <item x="2"/>
        <item t="default"/>
      </items>
    </pivotField>
    <pivotField name="Situação" compact="0" outline="0" multipleItemSelectionAllowed="1" showAll="0">
      <items>
        <item x="0"/>
        <item t="default"/>
      </items>
    </pivotField>
    <pivotField name="Observações" compact="0" outline="0" multipleItemSelectionAllowed="1" showAll="0">
      <items>
        <item x="0"/>
        <item x="1"/>
        <item t="default"/>
      </items>
    </pivotField>
  </pivotFields>
  <rowFields>
    <field x="1"/>
  </rowFields>
  <colFields>
    <field x="-2"/>
  </colFields>
  <dataFields>
    <dataField name="Valor Global" fld="10" baseField="0"/>
    <dataField name="Valor Já Repassado (MTur)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pivotTable" Target="../pivotTables/pivotTable6.xml"/><Relationship Id="rId3" Type="http://schemas.openxmlformats.org/officeDocument/2006/relationships/pivotTable" Target="../pivotTables/pivotTable7.xml"/><Relationship Id="rId4" Type="http://schemas.openxmlformats.org/officeDocument/2006/relationships/pivotTable" Target="../pivotTables/pivotTable8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75"/>
  <cols>
    <col customWidth="1" min="2" max="2" width="47.89"/>
    <col customWidth="1" min="3" max="3" width="13.11"/>
    <col customWidth="1" min="4" max="4" width="21.44"/>
    <col customWidth="1" min="5" max="5" width="12.67"/>
    <col customWidth="1" min="6" max="6" width="21.67"/>
    <col customWidth="1" hidden="1" min="7" max="7" width="8.67"/>
    <col customWidth="1" min="8" max="8" width="12.89"/>
    <col customWidth="1" min="9" max="9" width="15.78"/>
    <col customWidth="1" min="10" max="10" width="24.33"/>
    <col customWidth="1" min="11" max="11" width="12.67"/>
    <col customWidth="1" min="12" max="12" width="14.33"/>
    <col customWidth="1" min="13" max="13" width="15.22"/>
    <col customWidth="1" min="14" max="14" width="17.56"/>
    <col customWidth="1" min="15" max="15" width="15.89"/>
    <col customWidth="1" min="16" max="16" width="13.22"/>
    <col customWidth="1" min="17" max="17" width="14.33"/>
    <col customWidth="1" min="18" max="18" width="17.78"/>
    <col customWidth="1" min="19" max="19" width="16.11"/>
    <col customWidth="1" min="20" max="20" width="46.0"/>
    <col customWidth="1" min="21" max="21" width="14.33"/>
    <col customWidth="1" min="22" max="22" width="28.78"/>
    <col customWidth="1" min="24" max="25" width="12.22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1" t="s">
        <v>1</v>
      </c>
      <c r="Q1" s="3"/>
      <c r="R1" s="1" t="s">
        <v>2</v>
      </c>
      <c r="S1" s="3"/>
      <c r="T1" s="4" t="s">
        <v>3</v>
      </c>
      <c r="U1" s="1" t="s">
        <v>4</v>
      </c>
      <c r="V1" s="3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28</v>
      </c>
      <c r="W2" s="5" t="s">
        <v>30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>
      <c r="A3" s="8">
        <v>2024.0</v>
      </c>
      <c r="B3" s="9" t="s">
        <v>36</v>
      </c>
      <c r="C3" s="8" t="s">
        <v>32</v>
      </c>
      <c r="D3" s="8" t="s">
        <v>38</v>
      </c>
      <c r="E3" s="8" t="s">
        <v>40</v>
      </c>
      <c r="F3" s="8" t="s">
        <v>41</v>
      </c>
      <c r="G3" s="12" t="s">
        <v>43</v>
      </c>
      <c r="H3" s="8" t="s">
        <v>39</v>
      </c>
      <c r="I3" s="8">
        <v>5.400020240008E12</v>
      </c>
      <c r="J3" s="9" t="s">
        <v>44</v>
      </c>
      <c r="K3" s="11">
        <v>45639.0</v>
      </c>
      <c r="L3" s="13">
        <v>46551.0</v>
      </c>
      <c r="M3" s="15">
        <v>500000.0</v>
      </c>
      <c r="N3" s="15">
        <v>546039.72</v>
      </c>
      <c r="O3" s="15">
        <v>500000.0</v>
      </c>
      <c r="P3" s="9" t="s">
        <v>45</v>
      </c>
      <c r="Q3" s="15">
        <v>500000.0</v>
      </c>
      <c r="R3" s="9" t="s">
        <v>45</v>
      </c>
      <c r="S3" s="9" t="s">
        <v>45</v>
      </c>
      <c r="T3" s="8"/>
      <c r="U3" s="8" t="s">
        <v>58</v>
      </c>
      <c r="V3" s="8" t="s">
        <v>59</v>
      </c>
      <c r="W3" s="13">
        <v>45968.0</v>
      </c>
    </row>
    <row r="4">
      <c r="A4" s="8">
        <v>2024.0</v>
      </c>
      <c r="B4" s="9" t="s">
        <v>60</v>
      </c>
      <c r="C4" s="8" t="s">
        <v>32</v>
      </c>
      <c r="D4" s="8" t="s">
        <v>61</v>
      </c>
      <c r="E4" s="8" t="s">
        <v>62</v>
      </c>
      <c r="F4" s="8" t="s">
        <v>63</v>
      </c>
      <c r="G4" s="12" t="s">
        <v>64</v>
      </c>
      <c r="H4" s="8" t="s">
        <v>39</v>
      </c>
      <c r="I4" s="8">
        <v>5.400020240008E12</v>
      </c>
      <c r="J4" s="9" t="s">
        <v>42</v>
      </c>
      <c r="K4" s="11">
        <v>45649.0</v>
      </c>
      <c r="L4" s="13">
        <v>46387.0</v>
      </c>
      <c r="M4" s="15">
        <v>1000000.0</v>
      </c>
      <c r="N4" s="15">
        <v>1000000.0</v>
      </c>
      <c r="O4" s="15">
        <v>1000000.0</v>
      </c>
      <c r="P4" s="9" t="s">
        <v>45</v>
      </c>
      <c r="Q4" s="15">
        <v>1000000.0</v>
      </c>
      <c r="R4" s="9" t="s">
        <v>45</v>
      </c>
      <c r="S4" s="9" t="s">
        <v>45</v>
      </c>
      <c r="T4" s="8"/>
      <c r="U4" s="8" t="s">
        <v>74</v>
      </c>
      <c r="V4" s="8" t="s">
        <v>75</v>
      </c>
      <c r="W4" s="13">
        <v>45802.0</v>
      </c>
    </row>
    <row r="5">
      <c r="A5" s="8">
        <v>2024.0</v>
      </c>
      <c r="B5" s="9" t="s">
        <v>79</v>
      </c>
      <c r="C5" s="8" t="s">
        <v>82</v>
      </c>
      <c r="D5" s="8" t="s">
        <v>85</v>
      </c>
      <c r="E5" s="8" t="s">
        <v>87</v>
      </c>
      <c r="F5" s="8" t="s">
        <v>89</v>
      </c>
      <c r="G5" s="12" t="s">
        <v>90</v>
      </c>
      <c r="H5" s="8" t="s">
        <v>39</v>
      </c>
      <c r="I5" s="8">
        <v>5.400020240008E12</v>
      </c>
      <c r="J5" s="9" t="s">
        <v>91</v>
      </c>
      <c r="K5" s="11">
        <v>45644.0</v>
      </c>
      <c r="L5" s="13">
        <v>46739.0</v>
      </c>
      <c r="M5" s="15">
        <v>1000000.0</v>
      </c>
      <c r="N5" s="15">
        <v>1050000.0</v>
      </c>
      <c r="O5" s="15">
        <v>1000000.0</v>
      </c>
      <c r="P5" s="9" t="s">
        <v>45</v>
      </c>
      <c r="Q5" s="15">
        <v>1000000.0</v>
      </c>
      <c r="R5" s="9" t="s">
        <v>45</v>
      </c>
      <c r="S5" s="9" t="s">
        <v>45</v>
      </c>
      <c r="T5" s="8"/>
      <c r="U5" s="8" t="s">
        <v>99</v>
      </c>
      <c r="V5" s="8" t="s">
        <v>100</v>
      </c>
      <c r="W5" s="13">
        <v>45699.0</v>
      </c>
    </row>
    <row r="6">
      <c r="A6" s="8">
        <v>2024.0</v>
      </c>
      <c r="B6" s="9" t="s">
        <v>101</v>
      </c>
      <c r="C6" s="8" t="s">
        <v>102</v>
      </c>
      <c r="D6" s="8" t="s">
        <v>103</v>
      </c>
      <c r="E6" s="8" t="s">
        <v>104</v>
      </c>
      <c r="F6" s="8" t="s">
        <v>106</v>
      </c>
      <c r="G6" s="12" t="s">
        <v>109</v>
      </c>
      <c r="H6" s="8" t="s">
        <v>111</v>
      </c>
      <c r="I6" s="8">
        <v>5.400020240012E12</v>
      </c>
      <c r="J6" s="9" t="s">
        <v>115</v>
      </c>
      <c r="K6" s="11">
        <v>45657.0</v>
      </c>
      <c r="L6" s="13">
        <v>46386.0</v>
      </c>
      <c r="M6" s="15">
        <v>1000000.0</v>
      </c>
      <c r="N6" s="15">
        <v>1020000.0</v>
      </c>
      <c r="O6" s="15">
        <v>1000000.0</v>
      </c>
      <c r="P6" s="9" t="s">
        <v>46</v>
      </c>
      <c r="Q6" s="15"/>
      <c r="R6" s="9" t="s">
        <v>45</v>
      </c>
      <c r="S6" s="9" t="s">
        <v>45</v>
      </c>
      <c r="T6" s="8" t="s">
        <v>118</v>
      </c>
      <c r="U6" s="8" t="s">
        <v>119</v>
      </c>
      <c r="V6" s="8" t="s">
        <v>120</v>
      </c>
      <c r="W6" s="13"/>
    </row>
    <row r="7">
      <c r="A7" s="8">
        <v>2025.0</v>
      </c>
      <c r="B7" s="9" t="s">
        <v>123</v>
      </c>
      <c r="C7" s="8" t="s">
        <v>32</v>
      </c>
      <c r="D7" s="8" t="s">
        <v>125</v>
      </c>
      <c r="E7" s="8" t="s">
        <v>126</v>
      </c>
      <c r="F7" s="8" t="s">
        <v>128</v>
      </c>
      <c r="G7" s="12" t="s">
        <v>131</v>
      </c>
      <c r="H7" s="8" t="s">
        <v>56</v>
      </c>
      <c r="I7" s="8">
        <v>5.400020250017E12</v>
      </c>
      <c r="J7" s="9" t="s">
        <v>134</v>
      </c>
      <c r="K7" s="11">
        <v>46022.0</v>
      </c>
      <c r="L7" s="13">
        <v>46507.0</v>
      </c>
      <c r="M7" s="15">
        <v>450000.0</v>
      </c>
      <c r="N7" s="15">
        <v>455000.0</v>
      </c>
      <c r="O7" s="15">
        <v>450000.0</v>
      </c>
      <c r="P7" s="21" t="s">
        <v>46</v>
      </c>
      <c r="Q7" s="15"/>
      <c r="R7" s="9" t="s">
        <v>46</v>
      </c>
      <c r="S7" s="9" t="s">
        <v>46</v>
      </c>
      <c r="T7" s="8" t="s">
        <v>142</v>
      </c>
      <c r="U7" s="8" t="s">
        <v>143</v>
      </c>
      <c r="V7" s="8" t="s">
        <v>145</v>
      </c>
      <c r="W7" s="13"/>
    </row>
    <row r="8">
      <c r="A8" s="8">
        <v>2025.0</v>
      </c>
      <c r="B8" s="9" t="s">
        <v>146</v>
      </c>
      <c r="C8" s="8" t="s">
        <v>147</v>
      </c>
      <c r="D8" s="8" t="s">
        <v>148</v>
      </c>
      <c r="E8" s="8" t="s">
        <v>149</v>
      </c>
      <c r="F8" s="8" t="s">
        <v>150</v>
      </c>
      <c r="G8" s="12" t="s">
        <v>151</v>
      </c>
      <c r="H8" s="8" t="s">
        <v>56</v>
      </c>
      <c r="I8" s="8">
        <v>5.400020250017E12</v>
      </c>
      <c r="J8" s="9" t="s">
        <v>153</v>
      </c>
      <c r="K8" s="11">
        <v>46010.0</v>
      </c>
      <c r="L8" s="11">
        <v>46740.0</v>
      </c>
      <c r="M8" s="15">
        <v>450000.0</v>
      </c>
      <c r="N8" s="15">
        <v>455377.26</v>
      </c>
      <c r="O8" s="15">
        <v>450000.0</v>
      </c>
      <c r="P8" s="21" t="s">
        <v>46</v>
      </c>
      <c r="Q8" s="15"/>
      <c r="R8" s="21" t="s">
        <v>46</v>
      </c>
      <c r="S8" s="21" t="s">
        <v>46</v>
      </c>
      <c r="T8" s="8" t="s">
        <v>156</v>
      </c>
      <c r="U8" s="8" t="s">
        <v>157</v>
      </c>
      <c r="V8" s="8" t="s">
        <v>158</v>
      </c>
      <c r="W8" s="13"/>
    </row>
    <row r="9">
      <c r="A9" s="8">
        <v>2025.0</v>
      </c>
      <c r="B9" s="9" t="s">
        <v>159</v>
      </c>
      <c r="C9" s="8" t="s">
        <v>32</v>
      </c>
      <c r="D9" s="8" t="s">
        <v>161</v>
      </c>
      <c r="E9" s="8" t="s">
        <v>163</v>
      </c>
      <c r="F9" s="8" t="s">
        <v>164</v>
      </c>
      <c r="G9" s="12" t="s">
        <v>165</v>
      </c>
      <c r="H9" s="8" t="s">
        <v>56</v>
      </c>
      <c r="I9" s="8">
        <v>5.400020250017E12</v>
      </c>
      <c r="J9" s="9" t="s">
        <v>73</v>
      </c>
      <c r="K9" s="11">
        <v>46014.0</v>
      </c>
      <c r="L9" s="11">
        <v>46744.0</v>
      </c>
      <c r="M9" s="15">
        <v>2994000.0</v>
      </c>
      <c r="N9" s="15">
        <v>3000000.0</v>
      </c>
      <c r="O9" s="15">
        <v>2994000.0</v>
      </c>
      <c r="P9" s="21" t="s">
        <v>46</v>
      </c>
      <c r="Q9" s="15"/>
      <c r="R9" s="9" t="s">
        <v>45</v>
      </c>
      <c r="S9" s="9" t="s">
        <v>45</v>
      </c>
      <c r="T9" s="32"/>
      <c r="U9" s="8" t="s">
        <v>168</v>
      </c>
      <c r="V9" s="8" t="s">
        <v>169</v>
      </c>
      <c r="W9" s="13"/>
    </row>
    <row r="10">
      <c r="A10" s="8">
        <v>2025.0</v>
      </c>
      <c r="B10" s="9" t="s">
        <v>170</v>
      </c>
      <c r="C10" s="8" t="s">
        <v>171</v>
      </c>
      <c r="D10" s="8" t="s">
        <v>172</v>
      </c>
      <c r="E10" s="8" t="s">
        <v>174</v>
      </c>
      <c r="F10" s="8" t="s">
        <v>175</v>
      </c>
      <c r="G10" s="12" t="s">
        <v>132</v>
      </c>
      <c r="H10" s="8" t="s">
        <v>56</v>
      </c>
      <c r="I10" s="8">
        <v>5.400020250017E12</v>
      </c>
      <c r="J10" s="9" t="s">
        <v>179</v>
      </c>
      <c r="K10" s="11">
        <v>46009.0</v>
      </c>
      <c r="L10" s="11">
        <v>46739.0</v>
      </c>
      <c r="M10" s="15">
        <v>990000.0</v>
      </c>
      <c r="N10" s="15">
        <v>1000000.0</v>
      </c>
      <c r="O10" s="15">
        <v>1000000.0</v>
      </c>
      <c r="P10" s="21" t="s">
        <v>46</v>
      </c>
      <c r="Q10" s="15"/>
      <c r="R10" s="9" t="s">
        <v>45</v>
      </c>
      <c r="S10" s="9" t="s">
        <v>45</v>
      </c>
      <c r="T10" s="8"/>
      <c r="U10" s="8" t="s">
        <v>186</v>
      </c>
      <c r="V10" s="8" t="s">
        <v>187</v>
      </c>
      <c r="W10" s="13"/>
    </row>
    <row r="11">
      <c r="A11" s="8">
        <v>2025.0</v>
      </c>
      <c r="B11" s="9" t="s">
        <v>190</v>
      </c>
      <c r="C11" s="8" t="s">
        <v>80</v>
      </c>
      <c r="D11" s="8" t="s">
        <v>193</v>
      </c>
      <c r="E11" s="8" t="s">
        <v>195</v>
      </c>
      <c r="F11" s="8" t="s">
        <v>197</v>
      </c>
      <c r="G11" s="12" t="s">
        <v>132</v>
      </c>
      <c r="H11" s="8" t="s">
        <v>56</v>
      </c>
      <c r="I11" s="8">
        <v>5.400020250017E12</v>
      </c>
      <c r="J11" s="9" t="s">
        <v>201</v>
      </c>
      <c r="K11" s="11">
        <v>46013.0</v>
      </c>
      <c r="L11" s="11">
        <v>46741.0</v>
      </c>
      <c r="M11" s="15">
        <v>700000.0</v>
      </c>
      <c r="N11" s="15">
        <v>707000.0</v>
      </c>
      <c r="O11" s="15">
        <v>700000.0</v>
      </c>
      <c r="P11" s="21" t="s">
        <v>46</v>
      </c>
      <c r="Q11" s="15"/>
      <c r="R11" s="9" t="s">
        <v>45</v>
      </c>
      <c r="S11" s="9" t="s">
        <v>45</v>
      </c>
      <c r="T11" s="32"/>
      <c r="U11" s="8" t="s">
        <v>206</v>
      </c>
      <c r="V11" s="8" t="s">
        <v>208</v>
      </c>
      <c r="W11" s="13"/>
    </row>
    <row r="12">
      <c r="A12" s="8">
        <v>2025.0</v>
      </c>
      <c r="B12" s="9" t="s">
        <v>211</v>
      </c>
      <c r="C12" s="8" t="s">
        <v>82</v>
      </c>
      <c r="D12" s="8" t="s">
        <v>212</v>
      </c>
      <c r="E12" s="8" t="s">
        <v>213</v>
      </c>
      <c r="F12" s="8" t="s">
        <v>214</v>
      </c>
      <c r="G12" s="12" t="s">
        <v>215</v>
      </c>
      <c r="H12" s="8" t="s">
        <v>56</v>
      </c>
      <c r="I12" s="8">
        <v>5.400020250017E12</v>
      </c>
      <c r="J12" s="9" t="s">
        <v>216</v>
      </c>
      <c r="K12" s="11">
        <v>46008.0</v>
      </c>
      <c r="L12" s="11">
        <v>46738.0</v>
      </c>
      <c r="M12" s="15">
        <v>1300000.0</v>
      </c>
      <c r="N12" s="15">
        <v>1301400.0</v>
      </c>
      <c r="O12" s="15">
        <v>1300000.0</v>
      </c>
      <c r="P12" s="21" t="s">
        <v>46</v>
      </c>
      <c r="Q12" s="15"/>
      <c r="R12" s="21" t="s">
        <v>46</v>
      </c>
      <c r="S12" s="21" t="s">
        <v>46</v>
      </c>
      <c r="T12" s="8" t="s">
        <v>218</v>
      </c>
      <c r="U12" s="8" t="s">
        <v>219</v>
      </c>
      <c r="V12" s="8" t="s">
        <v>220</v>
      </c>
      <c r="W12" s="13"/>
    </row>
    <row r="13">
      <c r="A13" s="8">
        <v>2025.0</v>
      </c>
      <c r="B13" s="9" t="s">
        <v>221</v>
      </c>
      <c r="C13" s="8" t="s">
        <v>222</v>
      </c>
      <c r="D13" s="8" t="s">
        <v>223</v>
      </c>
      <c r="E13" s="8" t="s">
        <v>224</v>
      </c>
      <c r="F13" s="8" t="s">
        <v>225</v>
      </c>
      <c r="G13" s="12" t="s">
        <v>226</v>
      </c>
      <c r="H13" s="8" t="s">
        <v>56</v>
      </c>
      <c r="I13" s="8">
        <v>5.400020250017E12</v>
      </c>
      <c r="J13" s="9" t="s">
        <v>227</v>
      </c>
      <c r="K13" s="11">
        <v>46010.0</v>
      </c>
      <c r="L13" s="11">
        <v>46740.0</v>
      </c>
      <c r="M13" s="15">
        <v>500000.0</v>
      </c>
      <c r="N13" s="15">
        <v>505000.0</v>
      </c>
      <c r="O13" s="15">
        <v>500000.0</v>
      </c>
      <c r="P13" s="21" t="s">
        <v>46</v>
      </c>
      <c r="Q13" s="15"/>
      <c r="R13" s="9" t="s">
        <v>45</v>
      </c>
      <c r="S13" s="9" t="s">
        <v>45</v>
      </c>
      <c r="T13" s="8" t="s">
        <v>228</v>
      </c>
      <c r="U13" s="8" t="s">
        <v>229</v>
      </c>
      <c r="V13" s="8" t="s">
        <v>230</v>
      </c>
      <c r="W13" s="13"/>
    </row>
    <row r="14">
      <c r="A14" s="8">
        <v>2025.0</v>
      </c>
      <c r="B14" s="9" t="s">
        <v>231</v>
      </c>
      <c r="C14" s="8" t="s">
        <v>232</v>
      </c>
      <c r="D14" s="8" t="s">
        <v>233</v>
      </c>
      <c r="E14" s="8" t="s">
        <v>234</v>
      </c>
      <c r="F14" s="8" t="s">
        <v>235</v>
      </c>
      <c r="G14" s="12" t="s">
        <v>236</v>
      </c>
      <c r="H14" s="8" t="s">
        <v>56</v>
      </c>
      <c r="I14" s="8">
        <v>5.400020250017E12</v>
      </c>
      <c r="J14" s="9" t="s">
        <v>237</v>
      </c>
      <c r="K14" s="11">
        <v>46021.0</v>
      </c>
      <c r="L14" s="11">
        <v>46752.0</v>
      </c>
      <c r="M14" s="15">
        <v>500000.0</v>
      </c>
      <c r="N14" s="15">
        <v>500500.5</v>
      </c>
      <c r="O14" s="15">
        <v>500000.0</v>
      </c>
      <c r="P14" s="21" t="s">
        <v>46</v>
      </c>
      <c r="Q14" s="15"/>
      <c r="R14" s="9" t="s">
        <v>45</v>
      </c>
      <c r="S14" s="9" t="s">
        <v>45</v>
      </c>
      <c r="T14" s="8" t="s">
        <v>238</v>
      </c>
      <c r="U14" s="8" t="s">
        <v>239</v>
      </c>
      <c r="V14" s="8" t="s">
        <v>240</v>
      </c>
      <c r="W14" s="13"/>
    </row>
    <row r="15">
      <c r="A15" s="8">
        <v>2025.0</v>
      </c>
      <c r="B15" s="9" t="s">
        <v>241</v>
      </c>
      <c r="C15" s="8" t="s">
        <v>80</v>
      </c>
      <c r="D15" s="8" t="s">
        <v>242</v>
      </c>
      <c r="E15" s="8" t="s">
        <v>243</v>
      </c>
      <c r="F15" s="8" t="s">
        <v>244</v>
      </c>
      <c r="G15" s="12" t="s">
        <v>245</v>
      </c>
      <c r="H15" s="8" t="s">
        <v>56</v>
      </c>
      <c r="I15" s="8">
        <v>5.400020250017E12</v>
      </c>
      <c r="J15" s="9" t="s">
        <v>246</v>
      </c>
      <c r="K15" s="11">
        <v>46014.0</v>
      </c>
      <c r="L15" s="11">
        <v>46744.0</v>
      </c>
      <c r="M15" s="15">
        <v>1259150.0</v>
      </c>
      <c r="N15" s="15">
        <v>1260750.0</v>
      </c>
      <c r="O15" s="15">
        <v>1450000.0</v>
      </c>
      <c r="P15" s="21" t="s">
        <v>46</v>
      </c>
      <c r="Q15" s="15"/>
      <c r="R15" s="9" t="s">
        <v>45</v>
      </c>
      <c r="S15" s="9" t="s">
        <v>45</v>
      </c>
      <c r="T15" s="32"/>
      <c r="U15" s="8" t="s">
        <v>239</v>
      </c>
      <c r="V15" s="8" t="s">
        <v>248</v>
      </c>
      <c r="W15" s="13"/>
    </row>
    <row r="16">
      <c r="A16" s="8">
        <v>2025.0</v>
      </c>
      <c r="B16" s="9" t="s">
        <v>250</v>
      </c>
      <c r="C16" s="8" t="s">
        <v>251</v>
      </c>
      <c r="D16" s="8" t="s">
        <v>252</v>
      </c>
      <c r="E16" s="8" t="s">
        <v>253</v>
      </c>
      <c r="F16" s="8" t="s">
        <v>254</v>
      </c>
      <c r="G16" s="12" t="s">
        <v>255</v>
      </c>
      <c r="H16" s="8" t="s">
        <v>56</v>
      </c>
      <c r="I16" s="8">
        <v>5.400020250017E12</v>
      </c>
      <c r="J16" s="9" t="s">
        <v>256</v>
      </c>
      <c r="K16" s="11">
        <v>46021.0</v>
      </c>
      <c r="L16" s="11">
        <v>46741.0</v>
      </c>
      <c r="M16" s="15">
        <v>450000.0</v>
      </c>
      <c r="N16" s="15">
        <v>452000.0</v>
      </c>
      <c r="O16" s="15">
        <v>450000.0</v>
      </c>
      <c r="P16" s="21" t="s">
        <v>46</v>
      </c>
      <c r="Q16" s="15"/>
      <c r="R16" s="9" t="s">
        <v>45</v>
      </c>
      <c r="S16" s="9" t="s">
        <v>45</v>
      </c>
      <c r="T16" s="8" t="s">
        <v>257</v>
      </c>
      <c r="U16" s="8" t="s">
        <v>258</v>
      </c>
      <c r="V16" s="8" t="s">
        <v>259</v>
      </c>
      <c r="W16" s="13"/>
    </row>
    <row r="17">
      <c r="A17" s="8">
        <v>2025.0</v>
      </c>
      <c r="B17" s="9" t="s">
        <v>260</v>
      </c>
      <c r="C17" s="8" t="s">
        <v>32</v>
      </c>
      <c r="D17" s="8" t="s">
        <v>261</v>
      </c>
      <c r="E17" s="8" t="s">
        <v>262</v>
      </c>
      <c r="F17" s="8" t="s">
        <v>263</v>
      </c>
      <c r="G17" s="12" t="s">
        <v>264</v>
      </c>
      <c r="H17" s="8" t="s">
        <v>56</v>
      </c>
      <c r="I17" s="8">
        <v>5.400020250017E12</v>
      </c>
      <c r="J17" s="9" t="s">
        <v>265</v>
      </c>
      <c r="K17" s="11">
        <v>46007.0</v>
      </c>
      <c r="L17" s="11">
        <v>46737.0</v>
      </c>
      <c r="M17" s="15">
        <v>400000.0</v>
      </c>
      <c r="N17" s="15">
        <v>401000.0</v>
      </c>
      <c r="O17" s="15">
        <v>400000.0</v>
      </c>
      <c r="P17" s="21" t="s">
        <v>46</v>
      </c>
      <c r="Q17" s="15"/>
      <c r="R17" s="9" t="s">
        <v>45</v>
      </c>
      <c r="S17" s="9" t="s">
        <v>45</v>
      </c>
      <c r="T17" s="32"/>
      <c r="U17" s="8" t="s">
        <v>268</v>
      </c>
      <c r="V17" s="8" t="s">
        <v>269</v>
      </c>
      <c r="W17" s="13"/>
    </row>
    <row r="18">
      <c r="A18" s="8">
        <v>2025.0</v>
      </c>
      <c r="B18" s="9" t="s">
        <v>270</v>
      </c>
      <c r="C18" s="8" t="s">
        <v>80</v>
      </c>
      <c r="D18" s="8" t="s">
        <v>271</v>
      </c>
      <c r="E18" s="8" t="s">
        <v>272</v>
      </c>
      <c r="F18" s="8" t="s">
        <v>273</v>
      </c>
      <c r="G18" s="12" t="s">
        <v>274</v>
      </c>
      <c r="H18" s="8" t="s">
        <v>56</v>
      </c>
      <c r="I18" s="8">
        <v>5.400020250017E12</v>
      </c>
      <c r="J18" s="9" t="s">
        <v>275</v>
      </c>
      <c r="K18" s="11">
        <v>46020.0</v>
      </c>
      <c r="L18" s="13">
        <v>46507.0</v>
      </c>
      <c r="M18" s="15">
        <v>800000.0</v>
      </c>
      <c r="N18" s="15">
        <v>808000.0</v>
      </c>
      <c r="O18" s="15">
        <v>800000.0</v>
      </c>
      <c r="P18" s="21" t="s">
        <v>46</v>
      </c>
      <c r="Q18" s="15"/>
      <c r="R18" s="21" t="s">
        <v>46</v>
      </c>
      <c r="S18" s="21" t="s">
        <v>46</v>
      </c>
      <c r="T18" s="8" t="s">
        <v>218</v>
      </c>
      <c r="U18" s="8" t="s">
        <v>277</v>
      </c>
      <c r="V18" s="8" t="s">
        <v>279</v>
      </c>
      <c r="W18" s="13"/>
    </row>
    <row r="19">
      <c r="A19" s="8">
        <v>2025.0</v>
      </c>
      <c r="B19" s="9" t="s">
        <v>267</v>
      </c>
      <c r="C19" s="8" t="s">
        <v>82</v>
      </c>
      <c r="D19" s="8" t="s">
        <v>266</v>
      </c>
      <c r="E19" s="8" t="s">
        <v>280</v>
      </c>
      <c r="F19" s="8" t="s">
        <v>281</v>
      </c>
      <c r="G19" s="12" t="s">
        <v>282</v>
      </c>
      <c r="H19" s="8" t="s">
        <v>56</v>
      </c>
      <c r="I19" s="8">
        <v>5.400020250017E12</v>
      </c>
      <c r="J19" s="9" t="s">
        <v>91</v>
      </c>
      <c r="K19" s="11">
        <v>46007.0</v>
      </c>
      <c r="L19" s="11">
        <v>46737.0</v>
      </c>
      <c r="M19" s="15">
        <v>450000.0</v>
      </c>
      <c r="N19" s="15">
        <v>451000.0</v>
      </c>
      <c r="O19" s="15">
        <v>450000.0</v>
      </c>
      <c r="P19" s="21" t="s">
        <v>46</v>
      </c>
      <c r="Q19" s="15"/>
      <c r="R19" s="9" t="s">
        <v>45</v>
      </c>
      <c r="S19" s="9" t="s">
        <v>45</v>
      </c>
      <c r="T19" s="8"/>
      <c r="U19" s="8" t="s">
        <v>285</v>
      </c>
      <c r="V19" s="8" t="s">
        <v>286</v>
      </c>
      <c r="W19" s="13"/>
    </row>
    <row r="20">
      <c r="A20" s="8">
        <v>2025.0</v>
      </c>
      <c r="B20" s="9" t="s">
        <v>288</v>
      </c>
      <c r="C20" s="8" t="s">
        <v>110</v>
      </c>
      <c r="D20" s="8" t="s">
        <v>290</v>
      </c>
      <c r="E20" s="8" t="s">
        <v>291</v>
      </c>
      <c r="F20" s="8" t="s">
        <v>292</v>
      </c>
      <c r="G20" s="12" t="s">
        <v>293</v>
      </c>
      <c r="H20" s="8" t="s">
        <v>56</v>
      </c>
      <c r="I20" s="8">
        <v>5.400020250017E12</v>
      </c>
      <c r="J20" s="9" t="s">
        <v>294</v>
      </c>
      <c r="K20" s="11">
        <v>46020.0</v>
      </c>
      <c r="L20" s="13">
        <v>46510.0</v>
      </c>
      <c r="M20" s="15">
        <v>1500000.0</v>
      </c>
      <c r="N20" s="15">
        <v>1612903.23</v>
      </c>
      <c r="O20" s="15">
        <v>1500000.0</v>
      </c>
      <c r="P20" s="21" t="s">
        <v>46</v>
      </c>
      <c r="Q20" s="15"/>
      <c r="R20" s="9" t="s">
        <v>45</v>
      </c>
      <c r="S20" s="9" t="s">
        <v>45</v>
      </c>
      <c r="T20" s="8"/>
      <c r="U20" s="8" t="s">
        <v>295</v>
      </c>
      <c r="V20" s="8" t="s">
        <v>296</v>
      </c>
      <c r="W20" s="13"/>
    </row>
    <row r="21">
      <c r="A21" s="8">
        <v>2025.0</v>
      </c>
      <c r="B21" s="9" t="s">
        <v>288</v>
      </c>
      <c r="C21" s="8" t="s">
        <v>110</v>
      </c>
      <c r="D21" s="8" t="s">
        <v>297</v>
      </c>
      <c r="E21" s="8" t="s">
        <v>298</v>
      </c>
      <c r="F21" s="8" t="s">
        <v>299</v>
      </c>
      <c r="G21" s="12" t="s">
        <v>300</v>
      </c>
      <c r="H21" s="8" t="s">
        <v>56</v>
      </c>
      <c r="I21" s="8">
        <v>5.400020250017E12</v>
      </c>
      <c r="J21" s="9" t="s">
        <v>294</v>
      </c>
      <c r="K21" s="11">
        <v>46010.0</v>
      </c>
      <c r="L21" s="13">
        <v>46507.0</v>
      </c>
      <c r="M21" s="15">
        <v>450000.0</v>
      </c>
      <c r="N21" s="15">
        <v>451681.86</v>
      </c>
      <c r="O21" s="15">
        <v>450000.0</v>
      </c>
      <c r="P21" s="21" t="s">
        <v>46</v>
      </c>
      <c r="Q21" s="15"/>
      <c r="R21" s="9" t="s">
        <v>45</v>
      </c>
      <c r="S21" s="9" t="s">
        <v>45</v>
      </c>
      <c r="T21" s="8" t="s">
        <v>304</v>
      </c>
      <c r="U21" s="8" t="s">
        <v>305</v>
      </c>
      <c r="V21" s="8" t="s">
        <v>296</v>
      </c>
      <c r="W21" s="13"/>
    </row>
    <row r="22">
      <c r="A22" s="8">
        <v>2025.0</v>
      </c>
      <c r="B22" s="9" t="s">
        <v>308</v>
      </c>
      <c r="C22" s="8" t="s">
        <v>309</v>
      </c>
      <c r="D22" s="8" t="s">
        <v>310</v>
      </c>
      <c r="E22" s="8" t="s">
        <v>311</v>
      </c>
      <c r="F22" s="8" t="s">
        <v>312</v>
      </c>
      <c r="G22" s="12" t="s">
        <v>132</v>
      </c>
      <c r="H22" s="8" t="s">
        <v>56</v>
      </c>
      <c r="I22" s="8">
        <v>5.400020250017E12</v>
      </c>
      <c r="J22" s="9" t="s">
        <v>134</v>
      </c>
      <c r="K22" s="11">
        <v>46007.0</v>
      </c>
      <c r="L22" s="13">
        <v>47015.0</v>
      </c>
      <c r="M22" s="15">
        <v>370000.0</v>
      </c>
      <c r="N22" s="15">
        <v>379820.0</v>
      </c>
      <c r="O22" s="15">
        <v>370000.0</v>
      </c>
      <c r="P22" s="21" t="s">
        <v>46</v>
      </c>
      <c r="Q22" s="15"/>
      <c r="R22" s="9" t="s">
        <v>45</v>
      </c>
      <c r="S22" s="9" t="s">
        <v>45</v>
      </c>
      <c r="T22" s="8" t="s">
        <v>313</v>
      </c>
      <c r="U22" s="8" t="s">
        <v>314</v>
      </c>
      <c r="V22" s="8" t="s">
        <v>315</v>
      </c>
      <c r="W22" s="13"/>
    </row>
    <row r="23">
      <c r="A23" s="8">
        <v>2025.0</v>
      </c>
      <c r="B23" s="9" t="s">
        <v>284</v>
      </c>
      <c r="C23" s="8" t="s">
        <v>222</v>
      </c>
      <c r="D23" s="8" t="s">
        <v>283</v>
      </c>
      <c r="E23" s="8" t="s">
        <v>316</v>
      </c>
      <c r="F23" s="8" t="s">
        <v>317</v>
      </c>
      <c r="G23" s="12" t="s">
        <v>318</v>
      </c>
      <c r="H23" s="8" t="s">
        <v>56</v>
      </c>
      <c r="I23" s="8">
        <v>5.400020250017E12</v>
      </c>
      <c r="J23" s="9" t="s">
        <v>227</v>
      </c>
      <c r="K23" s="11">
        <v>46020.0</v>
      </c>
      <c r="L23" s="11">
        <v>46741.0</v>
      </c>
      <c r="M23" s="15">
        <v>500000.0</v>
      </c>
      <c r="N23" s="15">
        <v>505000.0</v>
      </c>
      <c r="O23" s="15">
        <v>500000.0</v>
      </c>
      <c r="P23" s="9" t="s">
        <v>46</v>
      </c>
      <c r="Q23" s="15"/>
      <c r="R23" s="9" t="s">
        <v>45</v>
      </c>
      <c r="S23" s="9" t="s">
        <v>45</v>
      </c>
      <c r="T23" s="8"/>
      <c r="U23" s="8" t="s">
        <v>229</v>
      </c>
      <c r="V23" s="8" t="s">
        <v>230</v>
      </c>
      <c r="W23" s="13"/>
    </row>
    <row r="24">
      <c r="A24" s="8">
        <v>2025.0</v>
      </c>
      <c r="B24" s="9" t="s">
        <v>101</v>
      </c>
      <c r="C24" s="8" t="s">
        <v>102</v>
      </c>
      <c r="D24" s="8" t="s">
        <v>319</v>
      </c>
      <c r="E24" s="8" t="s">
        <v>320</v>
      </c>
      <c r="F24" s="8" t="s">
        <v>321</v>
      </c>
      <c r="G24" s="12" t="s">
        <v>322</v>
      </c>
      <c r="H24" s="8" t="s">
        <v>56</v>
      </c>
      <c r="I24" s="8">
        <v>5.400020250017E12</v>
      </c>
      <c r="J24" s="9" t="s">
        <v>73</v>
      </c>
      <c r="K24" s="11">
        <v>46020.0</v>
      </c>
      <c r="L24" s="13">
        <v>46483.0</v>
      </c>
      <c r="M24" s="15">
        <v>2600000.0</v>
      </c>
      <c r="N24" s="15">
        <v>2630400.0</v>
      </c>
      <c r="O24" s="15">
        <v>2600000.0</v>
      </c>
      <c r="P24" s="9" t="s">
        <v>45</v>
      </c>
      <c r="Q24" s="15">
        <v>2600000.0</v>
      </c>
      <c r="R24" s="9" t="s">
        <v>45</v>
      </c>
      <c r="S24" s="9" t="s">
        <v>45</v>
      </c>
      <c r="T24" s="8"/>
      <c r="U24" s="8" t="s">
        <v>119</v>
      </c>
      <c r="V24" s="8" t="s">
        <v>120</v>
      </c>
      <c r="W24" s="13">
        <v>46206.0</v>
      </c>
    </row>
    <row r="25">
      <c r="A25" s="8">
        <v>2025.0</v>
      </c>
      <c r="B25" s="9" t="s">
        <v>247</v>
      </c>
      <c r="C25" s="8" t="s">
        <v>251</v>
      </c>
      <c r="D25" s="8" t="s">
        <v>249</v>
      </c>
      <c r="E25" s="8" t="s">
        <v>323</v>
      </c>
      <c r="F25" s="8" t="s">
        <v>324</v>
      </c>
      <c r="G25" s="12" t="s">
        <v>325</v>
      </c>
      <c r="H25" s="8" t="s">
        <v>56</v>
      </c>
      <c r="I25" s="8">
        <v>5.400020250017E12</v>
      </c>
      <c r="J25" s="9" t="s">
        <v>326</v>
      </c>
      <c r="K25" s="11">
        <v>46007.0</v>
      </c>
      <c r="L25" s="13">
        <v>46504.0</v>
      </c>
      <c r="M25" s="15">
        <v>450000.0</v>
      </c>
      <c r="N25" s="15">
        <v>450500.0</v>
      </c>
      <c r="O25" s="15">
        <v>450000.0</v>
      </c>
      <c r="P25" s="21" t="s">
        <v>46</v>
      </c>
      <c r="Q25" s="15"/>
      <c r="R25" s="9" t="s">
        <v>45</v>
      </c>
      <c r="S25" s="9" t="s">
        <v>45</v>
      </c>
      <c r="T25" s="32"/>
      <c r="U25" s="8" t="s">
        <v>327</v>
      </c>
      <c r="V25" s="8" t="s">
        <v>328</v>
      </c>
      <c r="W25" s="13"/>
    </row>
    <row r="26">
      <c r="A26" s="8">
        <v>2025.0</v>
      </c>
      <c r="B26" s="9" t="s">
        <v>289</v>
      </c>
      <c r="C26" s="8" t="s">
        <v>222</v>
      </c>
      <c r="D26" s="8" t="s">
        <v>287</v>
      </c>
      <c r="E26" s="8" t="s">
        <v>329</v>
      </c>
      <c r="F26" s="8" t="s">
        <v>330</v>
      </c>
      <c r="G26" s="12" t="s">
        <v>331</v>
      </c>
      <c r="H26" s="8" t="s">
        <v>56</v>
      </c>
      <c r="I26" s="8">
        <v>5.400020250017E12</v>
      </c>
      <c r="J26" s="9" t="s">
        <v>227</v>
      </c>
      <c r="K26" s="11">
        <v>46021.0</v>
      </c>
      <c r="L26" s="13">
        <v>46507.0</v>
      </c>
      <c r="M26" s="15">
        <v>500000.0</v>
      </c>
      <c r="N26" s="15">
        <v>505000.0</v>
      </c>
      <c r="O26" s="15">
        <v>500000.0</v>
      </c>
      <c r="P26" s="21" t="s">
        <v>46</v>
      </c>
      <c r="Q26" s="15"/>
      <c r="R26" s="9" t="s">
        <v>45</v>
      </c>
      <c r="S26" s="9" t="s">
        <v>45</v>
      </c>
      <c r="T26" s="8"/>
      <c r="U26" s="8" t="s">
        <v>229</v>
      </c>
      <c r="V26" s="8" t="s">
        <v>230</v>
      </c>
      <c r="W26" s="13"/>
    </row>
    <row r="27">
      <c r="A27" s="8">
        <v>2025.0</v>
      </c>
      <c r="B27" s="9" t="s">
        <v>276</v>
      </c>
      <c r="C27" s="8" t="s">
        <v>222</v>
      </c>
      <c r="D27" s="8" t="s">
        <v>278</v>
      </c>
      <c r="E27" s="8" t="s">
        <v>333</v>
      </c>
      <c r="F27" s="8" t="s">
        <v>334</v>
      </c>
      <c r="G27" s="12" t="s">
        <v>335</v>
      </c>
      <c r="H27" s="8" t="s">
        <v>56</v>
      </c>
      <c r="I27" s="8">
        <v>5.400020250017E12</v>
      </c>
      <c r="J27" s="9" t="s">
        <v>336</v>
      </c>
      <c r="K27" s="11">
        <v>46015.0</v>
      </c>
      <c r="L27" s="11">
        <v>46745.0</v>
      </c>
      <c r="M27" s="15">
        <v>1.0E7</v>
      </c>
      <c r="N27" s="15">
        <v>1.003E7</v>
      </c>
      <c r="O27" s="15">
        <v>1.0E7</v>
      </c>
      <c r="P27" s="21" t="s">
        <v>46</v>
      </c>
      <c r="Q27" s="15"/>
      <c r="R27" s="9" t="s">
        <v>45</v>
      </c>
      <c r="S27" s="9" t="s">
        <v>45</v>
      </c>
      <c r="T27" s="32"/>
      <c r="U27" s="8" t="s">
        <v>337</v>
      </c>
      <c r="V27" s="8" t="s">
        <v>338</v>
      </c>
      <c r="W27" s="13"/>
    </row>
    <row r="28">
      <c r="A28" s="8">
        <v>2025.0</v>
      </c>
      <c r="B28" s="9" t="s">
        <v>307</v>
      </c>
      <c r="C28" s="8" t="s">
        <v>102</v>
      </c>
      <c r="D28" s="8" t="s">
        <v>306</v>
      </c>
      <c r="E28" s="8" t="s">
        <v>339</v>
      </c>
      <c r="F28" s="8" t="s">
        <v>340</v>
      </c>
      <c r="G28" s="12" t="s">
        <v>132</v>
      </c>
      <c r="H28" s="8" t="s">
        <v>56</v>
      </c>
      <c r="I28" s="8">
        <v>5.400020250017E12</v>
      </c>
      <c r="J28" s="9" t="s">
        <v>341</v>
      </c>
      <c r="K28" s="11">
        <v>46008.0</v>
      </c>
      <c r="L28" s="11">
        <v>46738.0</v>
      </c>
      <c r="M28" s="15">
        <v>1500000.0</v>
      </c>
      <c r="N28" s="15">
        <v>1502000.0</v>
      </c>
      <c r="O28" s="15">
        <v>1500000.0</v>
      </c>
      <c r="P28" s="9" t="s">
        <v>45</v>
      </c>
      <c r="Q28" s="15">
        <v>1500000.0</v>
      </c>
      <c r="R28" s="9" t="s">
        <v>45</v>
      </c>
      <c r="S28" s="9" t="s">
        <v>45</v>
      </c>
      <c r="T28" s="8" t="s">
        <v>342</v>
      </c>
      <c r="U28" s="8" t="s">
        <v>343</v>
      </c>
      <c r="V28" s="8" t="s">
        <v>344</v>
      </c>
      <c r="W28" s="13">
        <v>46204.0</v>
      </c>
    </row>
    <row r="29">
      <c r="A29" s="8">
        <v>2025.0</v>
      </c>
      <c r="B29" s="52" t="s">
        <v>301</v>
      </c>
      <c r="C29" s="8" t="s">
        <v>345</v>
      </c>
      <c r="D29" s="8" t="s">
        <v>302</v>
      </c>
      <c r="E29" s="8" t="s">
        <v>346</v>
      </c>
      <c r="F29" s="8" t="s">
        <v>347</v>
      </c>
      <c r="G29" s="12" t="s">
        <v>348</v>
      </c>
      <c r="H29" s="8" t="s">
        <v>56</v>
      </c>
      <c r="I29" s="8">
        <v>5.400020250017E12</v>
      </c>
      <c r="J29" s="9" t="s">
        <v>349</v>
      </c>
      <c r="K29" s="11">
        <v>46015.0</v>
      </c>
      <c r="L29" s="13">
        <v>47026.0</v>
      </c>
      <c r="M29" s="15">
        <v>1700000.0</v>
      </c>
      <c r="N29" s="15">
        <v>1734000.0</v>
      </c>
      <c r="O29" s="15">
        <v>1700000.0</v>
      </c>
      <c r="P29" s="21" t="s">
        <v>46</v>
      </c>
      <c r="Q29" s="15"/>
      <c r="R29" s="21" t="s">
        <v>46</v>
      </c>
      <c r="S29" s="21" t="s">
        <v>46</v>
      </c>
      <c r="T29" s="8" t="s">
        <v>303</v>
      </c>
      <c r="U29" s="8" t="s">
        <v>350</v>
      </c>
      <c r="V29" s="8" t="s">
        <v>351</v>
      </c>
      <c r="W29" s="13"/>
    </row>
    <row r="30">
      <c r="A30" s="8">
        <v>2025.0</v>
      </c>
      <c r="B30" s="9" t="s">
        <v>352</v>
      </c>
      <c r="C30" s="8" t="s">
        <v>32</v>
      </c>
      <c r="D30" s="8" t="s">
        <v>353</v>
      </c>
      <c r="E30" s="8" t="s">
        <v>354</v>
      </c>
      <c r="F30" s="8" t="s">
        <v>355</v>
      </c>
      <c r="G30" s="12" t="s">
        <v>356</v>
      </c>
      <c r="H30" s="8" t="s">
        <v>39</v>
      </c>
      <c r="I30" s="8">
        <v>5.400020250019E12</v>
      </c>
      <c r="J30" s="9" t="s">
        <v>42</v>
      </c>
      <c r="K30" s="13">
        <v>45962.0</v>
      </c>
      <c r="L30" s="11">
        <v>46721.0</v>
      </c>
      <c r="M30" s="15">
        <v>500000.0</v>
      </c>
      <c r="N30" s="15">
        <v>500000.0</v>
      </c>
      <c r="O30" s="15">
        <v>500000.0</v>
      </c>
      <c r="P30" s="9" t="s">
        <v>45</v>
      </c>
      <c r="Q30" s="15">
        <v>500000.0</v>
      </c>
      <c r="R30" s="9" t="s">
        <v>45</v>
      </c>
      <c r="S30" s="9" t="s">
        <v>45</v>
      </c>
      <c r="T30" s="8"/>
      <c r="U30" s="8" t="s">
        <v>357</v>
      </c>
      <c r="V30" s="8" t="s">
        <v>75</v>
      </c>
      <c r="W30" s="13">
        <v>46097.0</v>
      </c>
    </row>
    <row r="31">
      <c r="A31" s="8">
        <v>2026.0</v>
      </c>
      <c r="B31" s="9" t="s">
        <v>358</v>
      </c>
      <c r="C31" s="8" t="s">
        <v>110</v>
      </c>
      <c r="D31" s="8" t="s">
        <v>359</v>
      </c>
      <c r="E31" s="8" t="s">
        <v>360</v>
      </c>
      <c r="F31" s="8" t="s">
        <v>361</v>
      </c>
      <c r="G31" s="12" t="s">
        <v>362</v>
      </c>
      <c r="H31" s="8" t="s">
        <v>111</v>
      </c>
      <c r="I31" s="8">
        <v>5.400020260018E12</v>
      </c>
      <c r="J31" s="9" t="s">
        <v>115</v>
      </c>
      <c r="K31" s="13">
        <v>46206.0</v>
      </c>
      <c r="L31" s="13">
        <v>46571.0</v>
      </c>
      <c r="M31" s="15">
        <v>500000.0</v>
      </c>
      <c r="N31" s="15">
        <v>505000.0</v>
      </c>
      <c r="O31" s="15">
        <v>500000.0</v>
      </c>
      <c r="P31" s="21" t="s">
        <v>46</v>
      </c>
      <c r="Q31" s="15"/>
      <c r="R31" s="8" t="s">
        <v>363</v>
      </c>
      <c r="S31" s="8" t="s">
        <v>363</v>
      </c>
      <c r="T31" s="8" t="s">
        <v>364</v>
      </c>
      <c r="U31" s="8" t="s">
        <v>365</v>
      </c>
      <c r="V31" s="8" t="s">
        <v>366</v>
      </c>
      <c r="W31" s="13"/>
    </row>
    <row r="32">
      <c r="A32" s="8">
        <v>2026.0</v>
      </c>
      <c r="B32" s="9" t="s">
        <v>367</v>
      </c>
      <c r="C32" s="8" t="s">
        <v>110</v>
      </c>
      <c r="D32" s="8" t="s">
        <v>368</v>
      </c>
      <c r="E32" s="8" t="s">
        <v>369</v>
      </c>
      <c r="F32" s="8" t="s">
        <v>370</v>
      </c>
      <c r="G32" s="12" t="s">
        <v>132</v>
      </c>
      <c r="H32" s="8" t="s">
        <v>111</v>
      </c>
      <c r="I32" s="8">
        <v>5.400020260018E12</v>
      </c>
      <c r="J32" s="9" t="s">
        <v>115</v>
      </c>
      <c r="K32" s="13">
        <v>46206.0</v>
      </c>
      <c r="L32" s="13">
        <v>46571.0</v>
      </c>
      <c r="M32" s="15">
        <v>500000.0</v>
      </c>
      <c r="N32" s="15">
        <v>505000.0</v>
      </c>
      <c r="O32" s="15">
        <v>500000.0</v>
      </c>
      <c r="P32" s="21" t="s">
        <v>46</v>
      </c>
      <c r="Q32" s="15"/>
      <c r="R32" s="8" t="s">
        <v>363</v>
      </c>
      <c r="S32" s="8" t="s">
        <v>363</v>
      </c>
      <c r="T32" s="8" t="s">
        <v>364</v>
      </c>
      <c r="U32" s="8" t="s">
        <v>371</v>
      </c>
      <c r="V32" s="8" t="s">
        <v>372</v>
      </c>
      <c r="W32" s="13"/>
    </row>
    <row r="33">
      <c r="A33" s="8">
        <v>2026.0</v>
      </c>
      <c r="B33" s="9" t="s">
        <v>373</v>
      </c>
      <c r="C33" s="8" t="s">
        <v>171</v>
      </c>
      <c r="D33" s="8" t="s">
        <v>374</v>
      </c>
      <c r="E33" s="8" t="s">
        <v>375</v>
      </c>
      <c r="F33" s="8" t="s">
        <v>376</v>
      </c>
      <c r="G33" s="12" t="s">
        <v>377</v>
      </c>
      <c r="H33" s="8" t="s">
        <v>111</v>
      </c>
      <c r="I33" s="8">
        <v>5.400020260018E12</v>
      </c>
      <c r="J33" s="9" t="s">
        <v>115</v>
      </c>
      <c r="K33" s="13">
        <v>46188.0</v>
      </c>
      <c r="L33" s="13">
        <v>46553.0</v>
      </c>
      <c r="M33" s="15">
        <v>1000000.0</v>
      </c>
      <c r="N33" s="15">
        <v>1010000.0</v>
      </c>
      <c r="O33" s="15">
        <v>1000000.0</v>
      </c>
      <c r="P33" s="21" t="s">
        <v>46</v>
      </c>
      <c r="Q33" s="15"/>
      <c r="R33" s="8" t="s">
        <v>363</v>
      </c>
      <c r="S33" s="8" t="s">
        <v>363</v>
      </c>
      <c r="T33" s="8" t="s">
        <v>381</v>
      </c>
      <c r="U33" s="8" t="s">
        <v>382</v>
      </c>
      <c r="V33" s="8" t="s">
        <v>383</v>
      </c>
      <c r="W33" s="13"/>
    </row>
    <row r="34">
      <c r="A34" s="8">
        <v>2026.0</v>
      </c>
      <c r="B34" s="9" t="s">
        <v>378</v>
      </c>
      <c r="C34" s="8" t="s">
        <v>68</v>
      </c>
      <c r="D34" s="8" t="s">
        <v>379</v>
      </c>
      <c r="E34" s="8" t="s">
        <v>386</v>
      </c>
      <c r="F34" s="8" t="s">
        <v>387</v>
      </c>
      <c r="G34" s="12" t="s">
        <v>388</v>
      </c>
      <c r="H34" s="8" t="s">
        <v>111</v>
      </c>
      <c r="I34" s="8">
        <v>5.400020260018E12</v>
      </c>
      <c r="J34" s="9" t="s">
        <v>115</v>
      </c>
      <c r="K34" s="11">
        <v>46366.0</v>
      </c>
      <c r="L34" s="11">
        <v>46731.0</v>
      </c>
      <c r="M34" s="15">
        <v>1000000.0</v>
      </c>
      <c r="N34" s="15">
        <v>1010000.0</v>
      </c>
      <c r="O34" s="15">
        <v>1000000.0</v>
      </c>
      <c r="P34" s="21" t="s">
        <v>46</v>
      </c>
      <c r="Q34" s="15"/>
      <c r="R34" s="54" t="s">
        <v>389</v>
      </c>
      <c r="S34" s="54" t="s">
        <v>389</v>
      </c>
      <c r="T34" s="8" t="s">
        <v>380</v>
      </c>
      <c r="U34" s="8" t="s">
        <v>392</v>
      </c>
      <c r="V34" s="8" t="s">
        <v>393</v>
      </c>
      <c r="W34" s="13"/>
    </row>
    <row r="35">
      <c r="A35" s="8">
        <v>2026.0</v>
      </c>
      <c r="B35" s="9" t="s">
        <v>352</v>
      </c>
      <c r="C35" s="8" t="s">
        <v>32</v>
      </c>
      <c r="D35" s="8" t="s">
        <v>384</v>
      </c>
      <c r="E35" s="8" t="s">
        <v>394</v>
      </c>
      <c r="F35" s="8" t="s">
        <v>395</v>
      </c>
      <c r="G35" s="12" t="s">
        <v>396</v>
      </c>
      <c r="H35" s="8" t="s">
        <v>39</v>
      </c>
      <c r="I35" s="8">
        <v>5.400020260017E12</v>
      </c>
      <c r="J35" s="9" t="s">
        <v>42</v>
      </c>
      <c r="K35" s="13">
        <v>46357.0</v>
      </c>
      <c r="L35" s="11">
        <v>46721.0</v>
      </c>
      <c r="M35" s="15">
        <v>500000.0</v>
      </c>
      <c r="N35" s="15">
        <v>525000.0</v>
      </c>
      <c r="O35" s="15">
        <v>500000.0</v>
      </c>
      <c r="P35" s="21" t="s">
        <v>46</v>
      </c>
      <c r="Q35" s="15"/>
      <c r="R35" s="54" t="s">
        <v>389</v>
      </c>
      <c r="S35" s="54" t="s">
        <v>389</v>
      </c>
      <c r="T35" s="8"/>
      <c r="U35" s="8" t="s">
        <v>357</v>
      </c>
      <c r="V35" s="8" t="s">
        <v>75</v>
      </c>
      <c r="W35" s="13"/>
    </row>
    <row r="36">
      <c r="A36" s="8">
        <v>2026.0</v>
      </c>
      <c r="B36" s="9" t="s">
        <v>391</v>
      </c>
      <c r="C36" s="8" t="s">
        <v>32</v>
      </c>
      <c r="D36" s="8" t="s">
        <v>390</v>
      </c>
      <c r="E36" s="8" t="s">
        <v>397</v>
      </c>
      <c r="F36" s="8" t="s">
        <v>398</v>
      </c>
      <c r="G36" s="12" t="s">
        <v>399</v>
      </c>
      <c r="H36" s="8" t="s">
        <v>111</v>
      </c>
      <c r="I36" s="8">
        <v>5.400020260018E12</v>
      </c>
      <c r="J36" s="9" t="s">
        <v>115</v>
      </c>
      <c r="K36" s="13">
        <v>46237.0</v>
      </c>
      <c r="L36" s="13">
        <v>46995.0</v>
      </c>
      <c r="M36" s="15">
        <v>250000.0</v>
      </c>
      <c r="N36" s="15">
        <v>263618.48</v>
      </c>
      <c r="O36" s="15"/>
      <c r="P36" s="21" t="s">
        <v>46</v>
      </c>
      <c r="Q36" s="15"/>
      <c r="R36" s="54" t="s">
        <v>389</v>
      </c>
      <c r="S36" s="54" t="s">
        <v>389</v>
      </c>
      <c r="T36" s="8"/>
      <c r="U36" s="8" t="s">
        <v>400</v>
      </c>
      <c r="V36" s="8" t="s">
        <v>401</v>
      </c>
      <c r="W36" s="13"/>
    </row>
    <row r="37">
      <c r="A37" s="8">
        <v>2026.0</v>
      </c>
      <c r="B37" s="9" t="s">
        <v>385</v>
      </c>
      <c r="C37" s="8" t="s">
        <v>32</v>
      </c>
      <c r="D37" s="8"/>
      <c r="E37" s="8" t="s">
        <v>402</v>
      </c>
      <c r="F37" s="8" t="s">
        <v>403</v>
      </c>
      <c r="G37" s="12"/>
      <c r="H37" s="8" t="s">
        <v>111</v>
      </c>
      <c r="I37" s="8">
        <v>5.400020260018E12</v>
      </c>
      <c r="J37" s="9" t="s">
        <v>115</v>
      </c>
      <c r="K37" s="13">
        <v>46259.0</v>
      </c>
      <c r="L37" s="13">
        <v>47118.0</v>
      </c>
      <c r="M37" s="15">
        <v>250000.0</v>
      </c>
      <c r="N37" s="15">
        <v>251000.0</v>
      </c>
      <c r="O37" s="15"/>
      <c r="P37" s="21" t="s">
        <v>46</v>
      </c>
      <c r="Q37" s="15"/>
      <c r="R37" s="54" t="s">
        <v>404</v>
      </c>
      <c r="S37" s="54" t="s">
        <v>404</v>
      </c>
      <c r="T37" s="8" t="s">
        <v>217</v>
      </c>
      <c r="U37" s="8"/>
      <c r="V37" s="8"/>
      <c r="W37" s="13"/>
    </row>
    <row r="38">
      <c r="G38" s="55"/>
      <c r="I38" s="56"/>
    </row>
    <row r="39">
      <c r="G39" s="55"/>
      <c r="I39" s="56"/>
    </row>
    <row r="40">
      <c r="G40" s="55"/>
      <c r="I40" s="56"/>
    </row>
    <row r="41">
      <c r="G41" s="55"/>
      <c r="I41" s="56"/>
    </row>
    <row r="42">
      <c r="G42" s="55"/>
      <c r="I42" s="56"/>
    </row>
    <row r="43">
      <c r="G43" s="55"/>
      <c r="I43" s="56"/>
    </row>
    <row r="44">
      <c r="G44" s="55"/>
      <c r="I44" s="56"/>
    </row>
    <row r="45">
      <c r="G45" s="55"/>
      <c r="I45" s="56"/>
    </row>
    <row r="46">
      <c r="G46" s="55"/>
      <c r="I46" s="56"/>
    </row>
    <row r="47">
      <c r="F47" s="59"/>
      <c r="G47" s="55"/>
      <c r="I47" s="56"/>
    </row>
    <row r="48">
      <c r="G48" s="55"/>
      <c r="I48" s="56"/>
    </row>
    <row r="49">
      <c r="G49" s="55"/>
      <c r="I49" s="56"/>
    </row>
    <row r="50">
      <c r="G50" s="55"/>
      <c r="I50" s="56"/>
    </row>
    <row r="51">
      <c r="G51" s="55"/>
      <c r="I51" s="56"/>
    </row>
    <row r="52">
      <c r="G52" s="55"/>
      <c r="I52" s="56"/>
    </row>
    <row r="53">
      <c r="G53" s="55"/>
      <c r="I53" s="56"/>
    </row>
    <row r="54">
      <c r="G54" s="55"/>
      <c r="I54" s="56"/>
    </row>
    <row r="55">
      <c r="G55" s="55"/>
      <c r="I55" s="56"/>
    </row>
    <row r="56">
      <c r="G56" s="55"/>
      <c r="I56" s="56"/>
    </row>
    <row r="57">
      <c r="G57" s="55"/>
      <c r="I57" s="56"/>
    </row>
    <row r="58">
      <c r="G58" s="55"/>
      <c r="I58" s="56"/>
    </row>
    <row r="59">
      <c r="G59" s="55"/>
      <c r="I59" s="56"/>
    </row>
    <row r="60">
      <c r="G60" s="55"/>
      <c r="I60" s="56"/>
    </row>
    <row r="61">
      <c r="G61" s="55"/>
      <c r="I61" s="56"/>
    </row>
    <row r="62">
      <c r="G62" s="55"/>
      <c r="I62" s="56"/>
    </row>
    <row r="63">
      <c r="G63" s="55"/>
      <c r="I63" s="56"/>
    </row>
    <row r="64">
      <c r="G64" s="55"/>
      <c r="I64" s="56"/>
    </row>
    <row r="65">
      <c r="G65" s="55"/>
      <c r="I65" s="56"/>
    </row>
    <row r="66">
      <c r="G66" s="55"/>
      <c r="I66" s="56"/>
    </row>
    <row r="67">
      <c r="G67" s="55"/>
      <c r="I67" s="56"/>
    </row>
    <row r="68">
      <c r="G68" s="55"/>
      <c r="I68" s="56"/>
    </row>
    <row r="69">
      <c r="G69" s="55"/>
      <c r="I69" s="56"/>
    </row>
    <row r="70">
      <c r="G70" s="55"/>
      <c r="I70" s="56"/>
    </row>
    <row r="71">
      <c r="G71" s="55"/>
      <c r="I71" s="56"/>
    </row>
    <row r="72">
      <c r="G72" s="55"/>
      <c r="I72" s="56"/>
    </row>
    <row r="73">
      <c r="G73" s="55"/>
      <c r="I73" s="56"/>
    </row>
    <row r="74">
      <c r="G74" s="55"/>
      <c r="I74" s="56"/>
    </row>
    <row r="75">
      <c r="G75" s="55"/>
      <c r="I75" s="56"/>
    </row>
    <row r="76">
      <c r="G76" s="55"/>
      <c r="I76" s="56"/>
    </row>
    <row r="77">
      <c r="G77" s="55"/>
      <c r="I77" s="56"/>
    </row>
    <row r="78">
      <c r="G78" s="55"/>
      <c r="I78" s="56"/>
    </row>
    <row r="79">
      <c r="G79" s="55"/>
      <c r="I79" s="56"/>
    </row>
    <row r="80">
      <c r="G80" s="55"/>
      <c r="I80" s="56"/>
    </row>
    <row r="81">
      <c r="G81" s="55"/>
      <c r="I81" s="56"/>
    </row>
    <row r="82">
      <c r="G82" s="55"/>
      <c r="I82" s="56"/>
    </row>
    <row r="83">
      <c r="G83" s="55"/>
      <c r="I83" s="56"/>
    </row>
    <row r="84">
      <c r="G84" s="55"/>
      <c r="I84" s="56"/>
    </row>
    <row r="85">
      <c r="G85" s="55"/>
      <c r="I85" s="56"/>
    </row>
    <row r="86">
      <c r="G86" s="55"/>
      <c r="I86" s="56"/>
    </row>
    <row r="87">
      <c r="G87" s="55"/>
      <c r="I87" s="56"/>
    </row>
    <row r="88">
      <c r="G88" s="55"/>
      <c r="I88" s="56"/>
    </row>
    <row r="89">
      <c r="G89" s="55"/>
      <c r="I89" s="56"/>
    </row>
    <row r="90">
      <c r="G90" s="55"/>
      <c r="I90" s="56"/>
    </row>
    <row r="91">
      <c r="G91" s="55"/>
      <c r="I91" s="56"/>
    </row>
    <row r="92">
      <c r="G92" s="55"/>
      <c r="I92" s="56"/>
    </row>
    <row r="93">
      <c r="G93" s="55"/>
      <c r="I93" s="56"/>
    </row>
    <row r="94">
      <c r="G94" s="55"/>
      <c r="I94" s="56"/>
    </row>
    <row r="95">
      <c r="G95" s="55"/>
      <c r="I95" s="56"/>
    </row>
    <row r="96">
      <c r="G96" s="55"/>
      <c r="I96" s="56"/>
    </row>
    <row r="97">
      <c r="G97" s="55"/>
      <c r="I97" s="56"/>
    </row>
    <row r="98">
      <c r="G98" s="55"/>
      <c r="I98" s="56"/>
    </row>
    <row r="99">
      <c r="G99" s="55"/>
      <c r="I99" s="56"/>
    </row>
    <row r="100">
      <c r="G100" s="55"/>
      <c r="I100" s="56"/>
    </row>
    <row r="101">
      <c r="G101" s="55"/>
      <c r="I101" s="56"/>
    </row>
    <row r="102">
      <c r="G102" s="55"/>
      <c r="I102" s="56"/>
    </row>
    <row r="103">
      <c r="G103" s="55"/>
      <c r="I103" s="56"/>
    </row>
    <row r="104">
      <c r="G104" s="55"/>
      <c r="I104" s="56"/>
    </row>
    <row r="105">
      <c r="G105" s="55"/>
      <c r="I105" s="56"/>
    </row>
    <row r="106">
      <c r="G106" s="55"/>
      <c r="I106" s="56"/>
    </row>
    <row r="107">
      <c r="G107" s="55"/>
      <c r="I107" s="56"/>
    </row>
    <row r="108">
      <c r="G108" s="55"/>
      <c r="I108" s="56"/>
    </row>
    <row r="109">
      <c r="G109" s="55"/>
      <c r="I109" s="56"/>
    </row>
    <row r="110">
      <c r="G110" s="55"/>
      <c r="I110" s="56"/>
    </row>
    <row r="111">
      <c r="G111" s="55"/>
      <c r="I111" s="56"/>
    </row>
    <row r="112">
      <c r="G112" s="55"/>
      <c r="I112" s="56"/>
    </row>
    <row r="113">
      <c r="G113" s="55"/>
      <c r="I113" s="56"/>
    </row>
    <row r="114">
      <c r="G114" s="55"/>
      <c r="I114" s="56"/>
    </row>
    <row r="115">
      <c r="G115" s="55"/>
      <c r="I115" s="56"/>
    </row>
    <row r="116">
      <c r="G116" s="55"/>
      <c r="I116" s="56"/>
    </row>
    <row r="117">
      <c r="G117" s="55"/>
      <c r="I117" s="56"/>
    </row>
    <row r="118">
      <c r="G118" s="55"/>
      <c r="I118" s="56"/>
    </row>
    <row r="119">
      <c r="G119" s="55"/>
      <c r="I119" s="56"/>
    </row>
    <row r="120">
      <c r="G120" s="55"/>
      <c r="I120" s="56"/>
    </row>
    <row r="121">
      <c r="G121" s="55"/>
      <c r="I121" s="56"/>
    </row>
    <row r="122">
      <c r="G122" s="55"/>
      <c r="I122" s="56"/>
    </row>
    <row r="123">
      <c r="G123" s="55"/>
      <c r="I123" s="56"/>
    </row>
    <row r="124">
      <c r="G124" s="55"/>
      <c r="I124" s="56"/>
    </row>
    <row r="125">
      <c r="G125" s="55"/>
      <c r="I125" s="56"/>
    </row>
    <row r="126">
      <c r="G126" s="55"/>
      <c r="I126" s="56"/>
    </row>
    <row r="127">
      <c r="G127" s="55"/>
      <c r="I127" s="56"/>
    </row>
    <row r="128">
      <c r="G128" s="55"/>
      <c r="I128" s="56"/>
    </row>
    <row r="129">
      <c r="G129" s="55"/>
      <c r="I129" s="56"/>
    </row>
    <row r="130">
      <c r="G130" s="55"/>
      <c r="I130" s="56"/>
    </row>
    <row r="131">
      <c r="G131" s="55"/>
      <c r="I131" s="56"/>
    </row>
    <row r="132">
      <c r="G132" s="55"/>
      <c r="I132" s="56"/>
    </row>
    <row r="133">
      <c r="G133" s="55"/>
      <c r="I133" s="56"/>
    </row>
    <row r="134">
      <c r="G134" s="55"/>
      <c r="I134" s="56"/>
    </row>
    <row r="135">
      <c r="G135" s="55"/>
      <c r="I135" s="56"/>
    </row>
    <row r="136">
      <c r="G136" s="55"/>
      <c r="I136" s="56"/>
    </row>
    <row r="137">
      <c r="G137" s="55"/>
      <c r="I137" s="56"/>
    </row>
    <row r="138">
      <c r="G138" s="55"/>
      <c r="I138" s="56"/>
    </row>
    <row r="139">
      <c r="G139" s="55"/>
      <c r="I139" s="56"/>
    </row>
    <row r="140">
      <c r="G140" s="55"/>
      <c r="I140" s="56"/>
    </row>
    <row r="141">
      <c r="G141" s="55"/>
      <c r="I141" s="56"/>
    </row>
    <row r="142">
      <c r="G142" s="55"/>
      <c r="I142" s="56"/>
    </row>
    <row r="143">
      <c r="G143" s="55"/>
      <c r="I143" s="56"/>
    </row>
    <row r="144">
      <c r="G144" s="55"/>
      <c r="I144" s="56"/>
    </row>
    <row r="145">
      <c r="G145" s="55"/>
      <c r="I145" s="56"/>
    </row>
    <row r="146">
      <c r="G146" s="55"/>
      <c r="I146" s="56"/>
    </row>
    <row r="147">
      <c r="G147" s="55"/>
      <c r="I147" s="56"/>
    </row>
    <row r="148">
      <c r="G148" s="55"/>
      <c r="I148" s="56"/>
    </row>
    <row r="149">
      <c r="G149" s="55"/>
      <c r="I149" s="56"/>
    </row>
    <row r="150">
      <c r="G150" s="55"/>
      <c r="I150" s="56"/>
    </row>
    <row r="151">
      <c r="G151" s="55"/>
      <c r="I151" s="56"/>
    </row>
    <row r="152">
      <c r="G152" s="55"/>
      <c r="I152" s="56"/>
    </row>
    <row r="153">
      <c r="G153" s="55"/>
      <c r="I153" s="56"/>
    </row>
    <row r="154">
      <c r="G154" s="55"/>
      <c r="I154" s="56"/>
    </row>
    <row r="155">
      <c r="G155" s="55"/>
      <c r="I155" s="56"/>
    </row>
    <row r="156">
      <c r="G156" s="55"/>
      <c r="I156" s="56"/>
    </row>
    <row r="157">
      <c r="G157" s="55"/>
      <c r="I157" s="56"/>
    </row>
    <row r="158">
      <c r="G158" s="55"/>
      <c r="I158" s="56"/>
    </row>
    <row r="159">
      <c r="G159" s="55"/>
      <c r="I159" s="56"/>
    </row>
    <row r="160">
      <c r="G160" s="55"/>
      <c r="I160" s="56"/>
    </row>
    <row r="161">
      <c r="G161" s="55"/>
      <c r="I161" s="56"/>
    </row>
    <row r="162">
      <c r="G162" s="55"/>
      <c r="I162" s="56"/>
    </row>
    <row r="163">
      <c r="G163" s="55"/>
      <c r="I163" s="56"/>
    </row>
    <row r="164">
      <c r="G164" s="55"/>
      <c r="I164" s="56"/>
    </row>
    <row r="165">
      <c r="G165" s="55"/>
      <c r="I165" s="56"/>
    </row>
    <row r="166">
      <c r="G166" s="55"/>
      <c r="I166" s="56"/>
    </row>
    <row r="167">
      <c r="G167" s="55"/>
      <c r="I167" s="56"/>
    </row>
    <row r="168">
      <c r="G168" s="55"/>
      <c r="I168" s="56"/>
    </row>
    <row r="169">
      <c r="G169" s="55"/>
      <c r="I169" s="56"/>
    </row>
    <row r="170">
      <c r="G170" s="55"/>
      <c r="I170" s="56"/>
    </row>
    <row r="171">
      <c r="G171" s="55"/>
      <c r="I171" s="56"/>
    </row>
    <row r="172">
      <c r="G172" s="55"/>
      <c r="I172" s="56"/>
    </row>
    <row r="173">
      <c r="G173" s="55"/>
      <c r="I173" s="56"/>
    </row>
    <row r="174">
      <c r="G174" s="55"/>
      <c r="I174" s="56"/>
    </row>
    <row r="175">
      <c r="G175" s="55"/>
      <c r="I175" s="56"/>
    </row>
    <row r="176">
      <c r="G176" s="55"/>
      <c r="I176" s="56"/>
    </row>
    <row r="177">
      <c r="G177" s="55"/>
      <c r="I177" s="56"/>
    </row>
    <row r="178">
      <c r="G178" s="55"/>
      <c r="I178" s="56"/>
    </row>
    <row r="179">
      <c r="G179" s="55"/>
      <c r="I179" s="56"/>
    </row>
    <row r="180">
      <c r="G180" s="55"/>
      <c r="I180" s="56"/>
    </row>
    <row r="181">
      <c r="G181" s="55"/>
      <c r="I181" s="56"/>
    </row>
    <row r="182">
      <c r="G182" s="55"/>
      <c r="I182" s="56"/>
    </row>
    <row r="183">
      <c r="G183" s="55"/>
      <c r="I183" s="56"/>
    </row>
    <row r="184">
      <c r="G184" s="55"/>
      <c r="I184" s="56"/>
    </row>
    <row r="185">
      <c r="G185" s="55"/>
      <c r="I185" s="56"/>
    </row>
    <row r="186">
      <c r="G186" s="55"/>
      <c r="I186" s="56"/>
    </row>
    <row r="187">
      <c r="G187" s="55"/>
      <c r="I187" s="56"/>
    </row>
    <row r="188">
      <c r="G188" s="55"/>
      <c r="I188" s="56"/>
    </row>
    <row r="189">
      <c r="G189" s="55"/>
      <c r="I189" s="56"/>
    </row>
    <row r="190">
      <c r="G190" s="55"/>
      <c r="I190" s="56"/>
    </row>
    <row r="191">
      <c r="G191" s="55"/>
      <c r="I191" s="56"/>
    </row>
    <row r="192">
      <c r="G192" s="55"/>
      <c r="I192" s="56"/>
    </row>
    <row r="193">
      <c r="G193" s="55"/>
      <c r="I193" s="56"/>
    </row>
    <row r="194">
      <c r="G194" s="55"/>
      <c r="I194" s="56"/>
    </row>
    <row r="195">
      <c r="G195" s="55"/>
      <c r="I195" s="56"/>
    </row>
    <row r="196">
      <c r="G196" s="55"/>
      <c r="I196" s="56"/>
    </row>
    <row r="197">
      <c r="G197" s="55"/>
      <c r="I197" s="56"/>
    </row>
    <row r="198">
      <c r="G198" s="55"/>
      <c r="I198" s="56"/>
    </row>
    <row r="199">
      <c r="G199" s="55"/>
      <c r="I199" s="56"/>
    </row>
    <row r="200">
      <c r="G200" s="55"/>
      <c r="I200" s="56"/>
    </row>
    <row r="201">
      <c r="G201" s="55"/>
      <c r="I201" s="56"/>
    </row>
    <row r="202">
      <c r="G202" s="55"/>
      <c r="I202" s="56"/>
    </row>
    <row r="203">
      <c r="G203" s="55"/>
      <c r="I203" s="56"/>
    </row>
    <row r="204">
      <c r="G204" s="55"/>
      <c r="I204" s="56"/>
    </row>
    <row r="205">
      <c r="G205" s="55"/>
      <c r="I205" s="56"/>
    </row>
    <row r="206">
      <c r="G206" s="55"/>
      <c r="I206" s="56"/>
    </row>
    <row r="207">
      <c r="G207" s="55"/>
      <c r="I207" s="56"/>
    </row>
    <row r="208">
      <c r="G208" s="55"/>
      <c r="I208" s="56"/>
    </row>
    <row r="209">
      <c r="G209" s="55"/>
      <c r="I209" s="56"/>
    </row>
    <row r="210">
      <c r="G210" s="55"/>
      <c r="I210" s="56"/>
    </row>
    <row r="211">
      <c r="G211" s="55"/>
      <c r="I211" s="56"/>
    </row>
    <row r="212">
      <c r="G212" s="55"/>
      <c r="I212" s="56"/>
    </row>
    <row r="213">
      <c r="G213" s="55"/>
      <c r="I213" s="56"/>
    </row>
    <row r="214">
      <c r="G214" s="55"/>
      <c r="I214" s="56"/>
    </row>
    <row r="215">
      <c r="G215" s="55"/>
      <c r="I215" s="56"/>
    </row>
    <row r="216">
      <c r="G216" s="55"/>
      <c r="I216" s="56"/>
    </row>
    <row r="217">
      <c r="G217" s="55"/>
      <c r="I217" s="56"/>
    </row>
    <row r="218">
      <c r="G218" s="55"/>
      <c r="I218" s="56"/>
    </row>
    <row r="219">
      <c r="G219" s="55"/>
      <c r="I219" s="56"/>
    </row>
    <row r="220">
      <c r="G220" s="55"/>
      <c r="I220" s="56"/>
    </row>
    <row r="221">
      <c r="G221" s="55"/>
      <c r="I221" s="56"/>
    </row>
    <row r="222">
      <c r="G222" s="55"/>
      <c r="I222" s="56"/>
    </row>
    <row r="223">
      <c r="G223" s="55"/>
      <c r="I223" s="56"/>
    </row>
    <row r="224">
      <c r="G224" s="55"/>
      <c r="I224" s="56"/>
    </row>
    <row r="225">
      <c r="G225" s="55"/>
      <c r="I225" s="56"/>
    </row>
    <row r="226">
      <c r="G226" s="55"/>
      <c r="I226" s="56"/>
    </row>
    <row r="227">
      <c r="G227" s="55"/>
      <c r="I227" s="56"/>
    </row>
    <row r="228">
      <c r="G228" s="55"/>
      <c r="I228" s="56"/>
    </row>
    <row r="229">
      <c r="G229" s="55"/>
      <c r="I229" s="56"/>
    </row>
    <row r="230">
      <c r="G230" s="55"/>
      <c r="I230" s="56"/>
    </row>
    <row r="231">
      <c r="G231" s="55"/>
      <c r="I231" s="56"/>
    </row>
    <row r="232">
      <c r="G232" s="55"/>
      <c r="I232" s="56"/>
    </row>
    <row r="233">
      <c r="G233" s="55"/>
      <c r="I233" s="56"/>
    </row>
    <row r="234">
      <c r="G234" s="55"/>
      <c r="I234" s="56"/>
    </row>
    <row r="235">
      <c r="G235" s="55"/>
      <c r="I235" s="56"/>
    </row>
    <row r="236">
      <c r="G236" s="55"/>
      <c r="I236" s="56"/>
    </row>
    <row r="237">
      <c r="G237" s="55"/>
      <c r="I237" s="56"/>
    </row>
    <row r="238">
      <c r="G238" s="55"/>
      <c r="I238" s="56"/>
    </row>
    <row r="239">
      <c r="G239" s="55"/>
      <c r="I239" s="56"/>
    </row>
    <row r="240">
      <c r="G240" s="55"/>
      <c r="I240" s="56"/>
    </row>
    <row r="241">
      <c r="G241" s="55"/>
      <c r="I241" s="56"/>
    </row>
    <row r="242">
      <c r="G242" s="55"/>
      <c r="I242" s="56"/>
    </row>
    <row r="243">
      <c r="G243" s="55"/>
      <c r="I243" s="56"/>
    </row>
    <row r="244">
      <c r="G244" s="55"/>
      <c r="I244" s="56"/>
    </row>
    <row r="245">
      <c r="G245" s="55"/>
      <c r="I245" s="56"/>
    </row>
    <row r="246">
      <c r="G246" s="55"/>
      <c r="I246" s="56"/>
    </row>
    <row r="247">
      <c r="G247" s="55"/>
      <c r="I247" s="56"/>
    </row>
    <row r="248">
      <c r="G248" s="55"/>
      <c r="I248" s="56"/>
    </row>
    <row r="249">
      <c r="G249" s="55"/>
      <c r="I249" s="56"/>
    </row>
    <row r="250">
      <c r="G250" s="55"/>
      <c r="I250" s="56"/>
    </row>
    <row r="251">
      <c r="G251" s="55"/>
      <c r="I251" s="56"/>
    </row>
    <row r="252">
      <c r="G252" s="55"/>
      <c r="I252" s="56"/>
    </row>
    <row r="253">
      <c r="G253" s="55"/>
      <c r="I253" s="56"/>
    </row>
    <row r="254">
      <c r="G254" s="55"/>
      <c r="I254" s="56"/>
    </row>
    <row r="255">
      <c r="G255" s="55"/>
      <c r="I255" s="56"/>
    </row>
    <row r="256">
      <c r="G256" s="55"/>
      <c r="I256" s="56"/>
    </row>
    <row r="257">
      <c r="G257" s="55"/>
      <c r="I257" s="56"/>
    </row>
    <row r="258">
      <c r="G258" s="55"/>
      <c r="I258" s="56"/>
    </row>
    <row r="259">
      <c r="G259" s="55"/>
      <c r="I259" s="56"/>
    </row>
    <row r="260">
      <c r="G260" s="55"/>
      <c r="I260" s="56"/>
    </row>
    <row r="261">
      <c r="G261" s="55"/>
      <c r="I261" s="56"/>
    </row>
    <row r="262">
      <c r="G262" s="55"/>
      <c r="I262" s="56"/>
    </row>
    <row r="263">
      <c r="G263" s="55"/>
      <c r="I263" s="56"/>
    </row>
    <row r="264">
      <c r="G264" s="55"/>
      <c r="I264" s="56"/>
    </row>
    <row r="265">
      <c r="G265" s="55"/>
      <c r="I265" s="56"/>
    </row>
    <row r="266">
      <c r="G266" s="55"/>
      <c r="I266" s="56"/>
    </row>
    <row r="267">
      <c r="G267" s="55"/>
      <c r="I267" s="56"/>
    </row>
    <row r="268">
      <c r="G268" s="55"/>
      <c r="I268" s="56"/>
    </row>
    <row r="269">
      <c r="G269" s="55"/>
      <c r="I269" s="56"/>
    </row>
    <row r="270">
      <c r="G270" s="55"/>
      <c r="I270" s="56"/>
    </row>
    <row r="271">
      <c r="G271" s="55"/>
      <c r="I271" s="56"/>
    </row>
    <row r="272">
      <c r="G272" s="55"/>
      <c r="I272" s="56"/>
    </row>
    <row r="273">
      <c r="G273" s="55"/>
      <c r="I273" s="56"/>
    </row>
    <row r="274">
      <c r="G274" s="55"/>
      <c r="I274" s="56"/>
    </row>
    <row r="275">
      <c r="G275" s="55"/>
      <c r="I275" s="56"/>
    </row>
    <row r="276">
      <c r="G276" s="55"/>
      <c r="I276" s="56"/>
    </row>
    <row r="277">
      <c r="G277" s="55"/>
      <c r="I277" s="56"/>
    </row>
    <row r="278">
      <c r="G278" s="55"/>
      <c r="I278" s="56"/>
    </row>
    <row r="279">
      <c r="G279" s="55"/>
      <c r="I279" s="56"/>
    </row>
    <row r="280">
      <c r="G280" s="55"/>
      <c r="I280" s="56"/>
    </row>
    <row r="281">
      <c r="G281" s="55"/>
      <c r="I281" s="56"/>
    </row>
    <row r="282">
      <c r="G282" s="55"/>
      <c r="I282" s="56"/>
    </row>
    <row r="283">
      <c r="G283" s="55"/>
      <c r="I283" s="56"/>
    </row>
    <row r="284">
      <c r="G284" s="55"/>
      <c r="I284" s="56"/>
    </row>
    <row r="285">
      <c r="G285" s="55"/>
      <c r="I285" s="56"/>
    </row>
    <row r="286">
      <c r="G286" s="55"/>
      <c r="I286" s="56"/>
    </row>
    <row r="287">
      <c r="G287" s="55"/>
      <c r="I287" s="56"/>
    </row>
    <row r="288">
      <c r="G288" s="55"/>
      <c r="I288" s="56"/>
    </row>
    <row r="289">
      <c r="G289" s="55"/>
      <c r="I289" s="56"/>
    </row>
    <row r="290">
      <c r="G290" s="55"/>
      <c r="I290" s="56"/>
    </row>
    <row r="291">
      <c r="G291" s="55"/>
      <c r="I291" s="56"/>
    </row>
    <row r="292">
      <c r="G292" s="55"/>
      <c r="I292" s="56"/>
    </row>
    <row r="293">
      <c r="G293" s="55"/>
      <c r="I293" s="56"/>
    </row>
    <row r="294">
      <c r="G294" s="55"/>
      <c r="I294" s="56"/>
    </row>
    <row r="295">
      <c r="G295" s="55"/>
      <c r="I295" s="56"/>
    </row>
    <row r="296">
      <c r="G296" s="55"/>
      <c r="I296" s="56"/>
    </row>
    <row r="297">
      <c r="G297" s="55"/>
      <c r="I297" s="56"/>
    </row>
    <row r="298">
      <c r="G298" s="55"/>
      <c r="I298" s="56"/>
    </row>
    <row r="299">
      <c r="G299" s="55"/>
      <c r="I299" s="56"/>
    </row>
    <row r="300">
      <c r="G300" s="55"/>
      <c r="I300" s="56"/>
    </row>
    <row r="301">
      <c r="G301" s="55"/>
      <c r="I301" s="56"/>
    </row>
    <row r="302">
      <c r="G302" s="55"/>
      <c r="I302" s="56"/>
    </row>
    <row r="303">
      <c r="G303" s="55"/>
      <c r="I303" s="56"/>
    </row>
    <row r="304">
      <c r="G304" s="55"/>
      <c r="I304" s="56"/>
    </row>
    <row r="305">
      <c r="G305" s="55"/>
      <c r="I305" s="56"/>
    </row>
    <row r="306">
      <c r="G306" s="55"/>
      <c r="I306" s="56"/>
    </row>
    <row r="307">
      <c r="G307" s="55"/>
      <c r="I307" s="56"/>
    </row>
    <row r="308">
      <c r="G308" s="55"/>
      <c r="I308" s="56"/>
    </row>
    <row r="309">
      <c r="G309" s="55"/>
      <c r="I309" s="56"/>
    </row>
    <row r="310">
      <c r="G310" s="55"/>
      <c r="I310" s="56"/>
    </row>
    <row r="311">
      <c r="G311" s="55"/>
      <c r="I311" s="56"/>
    </row>
    <row r="312">
      <c r="G312" s="55"/>
      <c r="I312" s="56"/>
    </row>
    <row r="313">
      <c r="G313" s="55"/>
      <c r="I313" s="56"/>
    </row>
    <row r="314">
      <c r="G314" s="55"/>
      <c r="I314" s="56"/>
    </row>
    <row r="315">
      <c r="G315" s="55"/>
      <c r="I315" s="56"/>
    </row>
    <row r="316">
      <c r="G316" s="55"/>
      <c r="I316" s="56"/>
    </row>
    <row r="317">
      <c r="G317" s="55"/>
      <c r="I317" s="56"/>
    </row>
    <row r="318">
      <c r="G318" s="55"/>
      <c r="I318" s="56"/>
    </row>
    <row r="319">
      <c r="G319" s="55"/>
      <c r="I319" s="56"/>
    </row>
    <row r="320">
      <c r="G320" s="55"/>
      <c r="I320" s="56"/>
    </row>
    <row r="321">
      <c r="G321" s="55"/>
      <c r="I321" s="56"/>
    </row>
    <row r="322">
      <c r="G322" s="55"/>
      <c r="I322" s="56"/>
    </row>
    <row r="323">
      <c r="G323" s="55"/>
      <c r="I323" s="56"/>
    </row>
    <row r="324">
      <c r="G324" s="55"/>
      <c r="I324" s="56"/>
    </row>
    <row r="325">
      <c r="G325" s="55"/>
      <c r="I325" s="56"/>
    </row>
    <row r="326">
      <c r="G326" s="55"/>
      <c r="I326" s="56"/>
    </row>
    <row r="327">
      <c r="G327" s="55"/>
      <c r="I327" s="56"/>
    </row>
    <row r="328">
      <c r="G328" s="55"/>
      <c r="I328" s="56"/>
    </row>
    <row r="329">
      <c r="G329" s="55"/>
      <c r="I329" s="56"/>
    </row>
    <row r="330">
      <c r="G330" s="55"/>
      <c r="I330" s="56"/>
    </row>
    <row r="331">
      <c r="G331" s="55"/>
      <c r="I331" s="56"/>
    </row>
    <row r="332">
      <c r="G332" s="55"/>
      <c r="I332" s="56"/>
    </row>
    <row r="333">
      <c r="G333" s="55"/>
      <c r="I333" s="56"/>
    </row>
    <row r="334">
      <c r="G334" s="55"/>
      <c r="I334" s="56"/>
    </row>
    <row r="335">
      <c r="G335" s="55"/>
      <c r="I335" s="56"/>
    </row>
    <row r="336">
      <c r="G336" s="55"/>
      <c r="I336" s="56"/>
    </row>
    <row r="337">
      <c r="G337" s="55"/>
      <c r="I337" s="56"/>
    </row>
    <row r="338">
      <c r="G338" s="55"/>
      <c r="I338" s="56"/>
    </row>
    <row r="339">
      <c r="G339" s="55"/>
      <c r="I339" s="56"/>
    </row>
    <row r="340">
      <c r="G340" s="55"/>
      <c r="I340" s="56"/>
    </row>
    <row r="341">
      <c r="G341" s="55"/>
      <c r="I341" s="56"/>
    </row>
    <row r="342">
      <c r="G342" s="55"/>
      <c r="I342" s="56"/>
    </row>
    <row r="343">
      <c r="G343" s="55"/>
      <c r="I343" s="56"/>
    </row>
    <row r="344">
      <c r="G344" s="55"/>
      <c r="I344" s="56"/>
    </row>
    <row r="345">
      <c r="G345" s="55"/>
      <c r="I345" s="56"/>
    </row>
    <row r="346">
      <c r="G346" s="55"/>
      <c r="I346" s="56"/>
    </row>
    <row r="347">
      <c r="G347" s="55"/>
      <c r="I347" s="56"/>
    </row>
    <row r="348">
      <c r="G348" s="55"/>
      <c r="I348" s="56"/>
    </row>
    <row r="349">
      <c r="G349" s="55"/>
      <c r="I349" s="56"/>
    </row>
    <row r="350">
      <c r="G350" s="55"/>
      <c r="I350" s="56"/>
    </row>
    <row r="351">
      <c r="G351" s="55"/>
      <c r="I351" s="56"/>
    </row>
    <row r="352">
      <c r="G352" s="55"/>
      <c r="I352" s="56"/>
    </row>
    <row r="353">
      <c r="G353" s="55"/>
      <c r="I353" s="56"/>
    </row>
    <row r="354">
      <c r="G354" s="55"/>
      <c r="I354" s="56"/>
    </row>
    <row r="355">
      <c r="G355" s="55"/>
      <c r="I355" s="56"/>
    </row>
    <row r="356">
      <c r="G356" s="55"/>
      <c r="I356" s="56"/>
    </row>
    <row r="357">
      <c r="G357" s="55"/>
      <c r="I357" s="56"/>
    </row>
    <row r="358">
      <c r="G358" s="55"/>
      <c r="I358" s="56"/>
    </row>
    <row r="359">
      <c r="G359" s="55"/>
      <c r="I359" s="56"/>
    </row>
    <row r="360">
      <c r="G360" s="55"/>
      <c r="I360" s="56"/>
    </row>
    <row r="361">
      <c r="G361" s="55"/>
      <c r="I361" s="56"/>
    </row>
    <row r="362">
      <c r="G362" s="55"/>
      <c r="I362" s="56"/>
    </row>
    <row r="363">
      <c r="G363" s="55"/>
      <c r="I363" s="56"/>
    </row>
    <row r="364">
      <c r="G364" s="55"/>
      <c r="I364" s="56"/>
    </row>
    <row r="365">
      <c r="G365" s="55"/>
      <c r="I365" s="56"/>
    </row>
    <row r="366">
      <c r="G366" s="55"/>
      <c r="I366" s="56"/>
    </row>
    <row r="367">
      <c r="G367" s="55"/>
      <c r="I367" s="56"/>
    </row>
    <row r="368">
      <c r="G368" s="55"/>
      <c r="I368" s="56"/>
    </row>
    <row r="369">
      <c r="G369" s="55"/>
      <c r="I369" s="56"/>
    </row>
    <row r="370">
      <c r="G370" s="55"/>
      <c r="I370" s="56"/>
    </row>
    <row r="371">
      <c r="G371" s="55"/>
      <c r="I371" s="56"/>
    </row>
    <row r="372">
      <c r="G372" s="55"/>
      <c r="I372" s="56"/>
    </row>
    <row r="373">
      <c r="G373" s="55"/>
      <c r="I373" s="56"/>
    </row>
    <row r="374">
      <c r="G374" s="55"/>
      <c r="I374" s="56"/>
    </row>
    <row r="375">
      <c r="G375" s="55"/>
      <c r="I375" s="56"/>
    </row>
    <row r="376">
      <c r="G376" s="55"/>
      <c r="I376" s="56"/>
    </row>
    <row r="377">
      <c r="G377" s="55"/>
      <c r="I377" s="56"/>
    </row>
    <row r="378">
      <c r="G378" s="55"/>
      <c r="I378" s="56"/>
    </row>
    <row r="379">
      <c r="G379" s="55"/>
      <c r="I379" s="56"/>
    </row>
    <row r="380">
      <c r="G380" s="55"/>
      <c r="I380" s="56"/>
    </row>
    <row r="381">
      <c r="G381" s="55"/>
      <c r="I381" s="56"/>
    </row>
    <row r="382">
      <c r="G382" s="55"/>
      <c r="I382" s="56"/>
    </row>
    <row r="383">
      <c r="G383" s="55"/>
      <c r="I383" s="56"/>
    </row>
    <row r="384">
      <c r="G384" s="55"/>
      <c r="I384" s="56"/>
    </row>
    <row r="385">
      <c r="G385" s="55"/>
      <c r="I385" s="56"/>
    </row>
    <row r="386">
      <c r="G386" s="55"/>
      <c r="I386" s="56"/>
    </row>
    <row r="387">
      <c r="G387" s="55"/>
      <c r="I387" s="56"/>
    </row>
    <row r="388">
      <c r="G388" s="55"/>
      <c r="I388" s="56"/>
    </row>
    <row r="389">
      <c r="G389" s="55"/>
      <c r="I389" s="56"/>
    </row>
    <row r="390">
      <c r="G390" s="55"/>
      <c r="I390" s="56"/>
    </row>
    <row r="391">
      <c r="G391" s="55"/>
      <c r="I391" s="56"/>
    </row>
    <row r="392">
      <c r="G392" s="55"/>
      <c r="I392" s="56"/>
    </row>
    <row r="393">
      <c r="G393" s="55"/>
      <c r="I393" s="56"/>
    </row>
    <row r="394">
      <c r="G394" s="55"/>
      <c r="I394" s="56"/>
    </row>
    <row r="395">
      <c r="G395" s="55"/>
      <c r="I395" s="56"/>
    </row>
    <row r="396">
      <c r="G396" s="55"/>
      <c r="I396" s="56"/>
    </row>
    <row r="397">
      <c r="G397" s="55"/>
      <c r="I397" s="56"/>
    </row>
    <row r="398">
      <c r="G398" s="55"/>
      <c r="I398" s="56"/>
    </row>
    <row r="399">
      <c r="G399" s="55"/>
      <c r="I399" s="56"/>
    </row>
    <row r="400">
      <c r="G400" s="55"/>
      <c r="I400" s="56"/>
    </row>
    <row r="401">
      <c r="G401" s="55"/>
      <c r="I401" s="56"/>
    </row>
    <row r="402">
      <c r="G402" s="55"/>
      <c r="I402" s="56"/>
    </row>
    <row r="403">
      <c r="G403" s="55"/>
      <c r="I403" s="56"/>
    </row>
    <row r="404">
      <c r="G404" s="55"/>
      <c r="I404" s="56"/>
    </row>
    <row r="405">
      <c r="G405" s="55"/>
      <c r="I405" s="56"/>
    </row>
    <row r="406">
      <c r="G406" s="55"/>
      <c r="I406" s="56"/>
    </row>
    <row r="407">
      <c r="G407" s="55"/>
      <c r="I407" s="56"/>
    </row>
    <row r="408">
      <c r="G408" s="55"/>
      <c r="I408" s="56"/>
    </row>
    <row r="409">
      <c r="G409" s="55"/>
      <c r="I409" s="56"/>
    </row>
    <row r="410">
      <c r="G410" s="55"/>
      <c r="I410" s="56"/>
    </row>
    <row r="411">
      <c r="G411" s="55"/>
      <c r="I411" s="56"/>
    </row>
    <row r="412">
      <c r="G412" s="55"/>
      <c r="I412" s="56"/>
    </row>
    <row r="413">
      <c r="G413" s="55"/>
      <c r="I413" s="56"/>
    </row>
    <row r="414">
      <c r="G414" s="55"/>
      <c r="I414" s="56"/>
    </row>
    <row r="415">
      <c r="G415" s="55"/>
      <c r="I415" s="56"/>
    </row>
    <row r="416">
      <c r="G416" s="55"/>
      <c r="I416" s="56"/>
    </row>
    <row r="417">
      <c r="G417" s="55"/>
      <c r="I417" s="56"/>
    </row>
    <row r="418">
      <c r="G418" s="55"/>
      <c r="I418" s="56"/>
    </row>
    <row r="419">
      <c r="G419" s="55"/>
      <c r="I419" s="56"/>
    </row>
    <row r="420">
      <c r="G420" s="55"/>
      <c r="I420" s="56"/>
    </row>
    <row r="421">
      <c r="G421" s="55"/>
      <c r="I421" s="56"/>
    </row>
    <row r="422">
      <c r="G422" s="55"/>
      <c r="I422" s="56"/>
    </row>
    <row r="423">
      <c r="G423" s="55"/>
      <c r="I423" s="56"/>
    </row>
    <row r="424">
      <c r="G424" s="55"/>
      <c r="I424" s="56"/>
    </row>
    <row r="425">
      <c r="G425" s="55"/>
      <c r="I425" s="56"/>
    </row>
    <row r="426">
      <c r="G426" s="55"/>
      <c r="I426" s="56"/>
    </row>
    <row r="427">
      <c r="G427" s="55"/>
      <c r="I427" s="56"/>
    </row>
    <row r="428">
      <c r="G428" s="55"/>
      <c r="I428" s="56"/>
    </row>
    <row r="429">
      <c r="G429" s="55"/>
      <c r="I429" s="56"/>
    </row>
    <row r="430">
      <c r="G430" s="55"/>
      <c r="I430" s="56"/>
    </row>
    <row r="431">
      <c r="G431" s="55"/>
      <c r="I431" s="56"/>
    </row>
    <row r="432">
      <c r="G432" s="55"/>
      <c r="I432" s="56"/>
    </row>
    <row r="433">
      <c r="G433" s="55"/>
      <c r="I433" s="56"/>
    </row>
    <row r="434">
      <c r="G434" s="55"/>
      <c r="I434" s="56"/>
    </row>
    <row r="435">
      <c r="G435" s="55"/>
      <c r="I435" s="56"/>
    </row>
    <row r="436">
      <c r="G436" s="55"/>
      <c r="I436" s="56"/>
    </row>
    <row r="437">
      <c r="G437" s="55"/>
      <c r="I437" s="56"/>
    </row>
    <row r="438">
      <c r="G438" s="55"/>
      <c r="I438" s="56"/>
    </row>
    <row r="439">
      <c r="G439" s="55"/>
      <c r="I439" s="56"/>
    </row>
    <row r="440">
      <c r="G440" s="55"/>
      <c r="I440" s="56"/>
    </row>
    <row r="441">
      <c r="G441" s="55"/>
      <c r="I441" s="56"/>
    </row>
    <row r="442">
      <c r="G442" s="55"/>
      <c r="I442" s="56"/>
    </row>
    <row r="443">
      <c r="G443" s="55"/>
      <c r="I443" s="56"/>
    </row>
    <row r="444">
      <c r="G444" s="55"/>
      <c r="I444" s="56"/>
    </row>
    <row r="445">
      <c r="G445" s="55"/>
      <c r="I445" s="56"/>
    </row>
    <row r="446">
      <c r="G446" s="55"/>
      <c r="I446" s="56"/>
    </row>
    <row r="447">
      <c r="G447" s="55"/>
      <c r="I447" s="56"/>
    </row>
    <row r="448">
      <c r="G448" s="55"/>
      <c r="I448" s="56"/>
    </row>
    <row r="449">
      <c r="G449" s="55"/>
      <c r="I449" s="56"/>
    </row>
    <row r="450">
      <c r="G450" s="55"/>
      <c r="I450" s="56"/>
    </row>
    <row r="451">
      <c r="G451" s="55"/>
      <c r="I451" s="56"/>
    </row>
    <row r="452">
      <c r="G452" s="55"/>
      <c r="I452" s="56"/>
    </row>
    <row r="453">
      <c r="G453" s="55"/>
      <c r="I453" s="56"/>
    </row>
    <row r="454">
      <c r="G454" s="55"/>
      <c r="I454" s="56"/>
    </row>
    <row r="455">
      <c r="G455" s="55"/>
      <c r="I455" s="56"/>
    </row>
    <row r="456">
      <c r="G456" s="55"/>
      <c r="I456" s="56"/>
    </row>
    <row r="457">
      <c r="G457" s="55"/>
      <c r="I457" s="56"/>
    </row>
    <row r="458">
      <c r="G458" s="55"/>
      <c r="I458" s="56"/>
    </row>
    <row r="459">
      <c r="G459" s="55"/>
      <c r="I459" s="56"/>
    </row>
    <row r="460">
      <c r="G460" s="55"/>
      <c r="I460" s="56"/>
    </row>
    <row r="461">
      <c r="G461" s="55"/>
      <c r="I461" s="56"/>
    </row>
    <row r="462">
      <c r="G462" s="55"/>
      <c r="I462" s="56"/>
    </row>
    <row r="463">
      <c r="G463" s="55"/>
      <c r="I463" s="56"/>
    </row>
    <row r="464">
      <c r="G464" s="55"/>
      <c r="I464" s="56"/>
    </row>
    <row r="465">
      <c r="G465" s="55"/>
      <c r="I465" s="56"/>
    </row>
    <row r="466">
      <c r="G466" s="55"/>
      <c r="I466" s="56"/>
    </row>
    <row r="467">
      <c r="G467" s="55"/>
      <c r="I467" s="56"/>
    </row>
    <row r="468">
      <c r="G468" s="55"/>
      <c r="I468" s="56"/>
    </row>
    <row r="469">
      <c r="G469" s="55"/>
      <c r="I469" s="56"/>
    </row>
    <row r="470">
      <c r="G470" s="55"/>
      <c r="I470" s="56"/>
    </row>
    <row r="471">
      <c r="G471" s="55"/>
      <c r="I471" s="56"/>
    </row>
    <row r="472">
      <c r="G472" s="55"/>
      <c r="I472" s="56"/>
    </row>
    <row r="473">
      <c r="G473" s="55"/>
      <c r="I473" s="56"/>
    </row>
    <row r="474">
      <c r="G474" s="55"/>
      <c r="I474" s="56"/>
    </row>
    <row r="475">
      <c r="G475" s="55"/>
      <c r="I475" s="56"/>
    </row>
    <row r="476">
      <c r="G476" s="55"/>
      <c r="I476" s="56"/>
    </row>
    <row r="477">
      <c r="G477" s="55"/>
      <c r="I477" s="56"/>
    </row>
    <row r="478">
      <c r="G478" s="55"/>
      <c r="I478" s="56"/>
    </row>
    <row r="479">
      <c r="G479" s="55"/>
      <c r="I479" s="56"/>
    </row>
    <row r="480">
      <c r="G480" s="55"/>
      <c r="I480" s="56"/>
    </row>
    <row r="481">
      <c r="G481" s="55"/>
      <c r="I481" s="56"/>
    </row>
    <row r="482">
      <c r="G482" s="55"/>
      <c r="I482" s="56"/>
    </row>
    <row r="483">
      <c r="G483" s="55"/>
      <c r="I483" s="56"/>
    </row>
    <row r="484">
      <c r="G484" s="55"/>
      <c r="I484" s="56"/>
    </row>
    <row r="485">
      <c r="G485" s="55"/>
      <c r="I485" s="56"/>
    </row>
    <row r="486">
      <c r="G486" s="55"/>
      <c r="I486" s="56"/>
    </row>
    <row r="487">
      <c r="G487" s="55"/>
      <c r="I487" s="56"/>
    </row>
    <row r="488">
      <c r="G488" s="55"/>
      <c r="I488" s="56"/>
    </row>
    <row r="489">
      <c r="G489" s="55"/>
      <c r="I489" s="56"/>
    </row>
    <row r="490">
      <c r="G490" s="55"/>
      <c r="I490" s="56"/>
    </row>
    <row r="491">
      <c r="G491" s="55"/>
      <c r="I491" s="56"/>
    </row>
    <row r="492">
      <c r="G492" s="55"/>
      <c r="I492" s="56"/>
    </row>
    <row r="493">
      <c r="G493" s="55"/>
      <c r="I493" s="56"/>
    </row>
    <row r="494">
      <c r="G494" s="55"/>
      <c r="I494" s="56"/>
    </row>
    <row r="495">
      <c r="G495" s="55"/>
      <c r="I495" s="56"/>
    </row>
    <row r="496">
      <c r="G496" s="55"/>
      <c r="I496" s="56"/>
    </row>
    <row r="497">
      <c r="G497" s="55"/>
      <c r="I497" s="56"/>
    </row>
    <row r="498">
      <c r="G498" s="55"/>
      <c r="I498" s="56"/>
    </row>
    <row r="499">
      <c r="G499" s="55"/>
      <c r="I499" s="56"/>
    </row>
    <row r="500">
      <c r="G500" s="55"/>
      <c r="I500" s="56"/>
    </row>
    <row r="501">
      <c r="G501" s="55"/>
      <c r="I501" s="56"/>
    </row>
    <row r="502">
      <c r="G502" s="55"/>
      <c r="I502" s="56"/>
    </row>
    <row r="503">
      <c r="G503" s="55"/>
      <c r="I503" s="56"/>
    </row>
    <row r="504">
      <c r="G504" s="55"/>
      <c r="I504" s="56"/>
    </row>
    <row r="505">
      <c r="G505" s="55"/>
      <c r="I505" s="56"/>
    </row>
    <row r="506">
      <c r="G506" s="55"/>
      <c r="I506" s="56"/>
    </row>
    <row r="507">
      <c r="G507" s="55"/>
      <c r="I507" s="56"/>
    </row>
    <row r="508">
      <c r="G508" s="55"/>
      <c r="I508" s="56"/>
    </row>
    <row r="509">
      <c r="G509" s="55"/>
      <c r="I509" s="56"/>
    </row>
    <row r="510">
      <c r="G510" s="55"/>
      <c r="I510" s="56"/>
    </row>
    <row r="511">
      <c r="G511" s="55"/>
      <c r="I511" s="56"/>
    </row>
    <row r="512">
      <c r="G512" s="55"/>
      <c r="I512" s="56"/>
    </row>
    <row r="513">
      <c r="G513" s="55"/>
      <c r="I513" s="56"/>
    </row>
    <row r="514">
      <c r="G514" s="55"/>
      <c r="I514" s="56"/>
    </row>
    <row r="515">
      <c r="G515" s="55"/>
      <c r="I515" s="56"/>
    </row>
    <row r="516">
      <c r="G516" s="55"/>
      <c r="I516" s="56"/>
    </row>
    <row r="517">
      <c r="G517" s="55"/>
      <c r="I517" s="56"/>
    </row>
    <row r="518">
      <c r="G518" s="55"/>
      <c r="I518" s="56"/>
    </row>
    <row r="519">
      <c r="G519" s="55"/>
      <c r="I519" s="56"/>
    </row>
    <row r="520">
      <c r="G520" s="55"/>
      <c r="I520" s="56"/>
    </row>
    <row r="521">
      <c r="G521" s="55"/>
      <c r="I521" s="56"/>
    </row>
    <row r="522">
      <c r="G522" s="55"/>
      <c r="I522" s="56"/>
    </row>
    <row r="523">
      <c r="G523" s="55"/>
      <c r="I523" s="56"/>
    </row>
    <row r="524">
      <c r="G524" s="55"/>
      <c r="I524" s="56"/>
    </row>
    <row r="525">
      <c r="G525" s="55"/>
      <c r="I525" s="56"/>
    </row>
    <row r="526">
      <c r="G526" s="55"/>
      <c r="I526" s="56"/>
    </row>
    <row r="527">
      <c r="G527" s="55"/>
      <c r="I527" s="56"/>
    </row>
    <row r="528">
      <c r="G528" s="55"/>
      <c r="I528" s="56"/>
    </row>
    <row r="529">
      <c r="G529" s="55"/>
      <c r="I529" s="56"/>
    </row>
    <row r="530">
      <c r="G530" s="55"/>
      <c r="I530" s="56"/>
    </row>
    <row r="531">
      <c r="G531" s="55"/>
      <c r="I531" s="56"/>
    </row>
    <row r="532">
      <c r="G532" s="55"/>
      <c r="I532" s="56"/>
    </row>
    <row r="533">
      <c r="G533" s="55"/>
      <c r="I533" s="56"/>
    </row>
    <row r="534">
      <c r="G534" s="55"/>
      <c r="I534" s="56"/>
    </row>
    <row r="535">
      <c r="G535" s="55"/>
      <c r="I535" s="56"/>
    </row>
    <row r="536">
      <c r="G536" s="55"/>
      <c r="I536" s="56"/>
    </row>
    <row r="537">
      <c r="G537" s="55"/>
      <c r="I537" s="56"/>
    </row>
    <row r="538">
      <c r="G538" s="55"/>
      <c r="I538" s="56"/>
    </row>
    <row r="539">
      <c r="G539" s="55"/>
      <c r="I539" s="56"/>
    </row>
    <row r="540">
      <c r="G540" s="55"/>
      <c r="I540" s="56"/>
    </row>
    <row r="541">
      <c r="G541" s="55"/>
      <c r="I541" s="56"/>
    </row>
    <row r="542">
      <c r="G542" s="55"/>
      <c r="I542" s="56"/>
    </row>
    <row r="543">
      <c r="G543" s="55"/>
      <c r="I543" s="56"/>
    </row>
    <row r="544">
      <c r="G544" s="55"/>
      <c r="I544" s="56"/>
    </row>
    <row r="545">
      <c r="G545" s="55"/>
      <c r="I545" s="56"/>
    </row>
    <row r="546">
      <c r="G546" s="55"/>
      <c r="I546" s="56"/>
    </row>
    <row r="547">
      <c r="G547" s="55"/>
      <c r="I547" s="56"/>
    </row>
    <row r="548">
      <c r="G548" s="55"/>
      <c r="I548" s="56"/>
    </row>
    <row r="549">
      <c r="G549" s="55"/>
      <c r="I549" s="56"/>
    </row>
    <row r="550">
      <c r="G550" s="55"/>
      <c r="I550" s="56"/>
    </row>
    <row r="551">
      <c r="G551" s="55"/>
      <c r="I551" s="56"/>
    </row>
    <row r="552">
      <c r="G552" s="55"/>
      <c r="I552" s="56"/>
    </row>
    <row r="553">
      <c r="G553" s="55"/>
      <c r="I553" s="56"/>
    </row>
    <row r="554">
      <c r="G554" s="55"/>
      <c r="I554" s="56"/>
    </row>
    <row r="555">
      <c r="G555" s="55"/>
      <c r="I555" s="56"/>
    </row>
    <row r="556">
      <c r="G556" s="55"/>
      <c r="I556" s="56"/>
    </row>
    <row r="557">
      <c r="G557" s="55"/>
      <c r="I557" s="56"/>
    </row>
    <row r="558">
      <c r="G558" s="55"/>
      <c r="I558" s="56"/>
    </row>
    <row r="559">
      <c r="G559" s="55"/>
      <c r="I559" s="56"/>
    </row>
    <row r="560">
      <c r="G560" s="55"/>
      <c r="I560" s="56"/>
    </row>
    <row r="561">
      <c r="G561" s="55"/>
      <c r="I561" s="56"/>
    </row>
    <row r="562">
      <c r="G562" s="55"/>
      <c r="I562" s="56"/>
    </row>
    <row r="563">
      <c r="G563" s="55"/>
      <c r="I563" s="56"/>
    </row>
    <row r="564">
      <c r="G564" s="55"/>
      <c r="I564" s="56"/>
    </row>
    <row r="565">
      <c r="G565" s="55"/>
      <c r="I565" s="56"/>
    </row>
    <row r="566">
      <c r="G566" s="55"/>
      <c r="I566" s="56"/>
    </row>
    <row r="567">
      <c r="G567" s="55"/>
      <c r="I567" s="56"/>
    </row>
    <row r="568">
      <c r="G568" s="55"/>
      <c r="I568" s="56"/>
    </row>
    <row r="569">
      <c r="G569" s="55"/>
      <c r="I569" s="56"/>
    </row>
    <row r="570">
      <c r="G570" s="55"/>
      <c r="I570" s="56"/>
    </row>
    <row r="571">
      <c r="G571" s="55"/>
      <c r="I571" s="56"/>
    </row>
    <row r="572">
      <c r="G572" s="55"/>
      <c r="I572" s="56"/>
    </row>
    <row r="573">
      <c r="G573" s="55"/>
      <c r="I573" s="56"/>
    </row>
    <row r="574">
      <c r="G574" s="55"/>
      <c r="I574" s="56"/>
    </row>
    <row r="575">
      <c r="G575" s="55"/>
      <c r="I575" s="56"/>
    </row>
    <row r="576">
      <c r="G576" s="55"/>
      <c r="I576" s="56"/>
    </row>
    <row r="577">
      <c r="G577" s="55"/>
      <c r="I577" s="56"/>
    </row>
    <row r="578">
      <c r="G578" s="55"/>
      <c r="I578" s="56"/>
    </row>
    <row r="579">
      <c r="G579" s="55"/>
      <c r="I579" s="56"/>
    </row>
    <row r="580">
      <c r="G580" s="55"/>
      <c r="I580" s="56"/>
    </row>
    <row r="581">
      <c r="G581" s="55"/>
      <c r="I581" s="56"/>
    </row>
    <row r="582">
      <c r="G582" s="55"/>
      <c r="I582" s="56"/>
    </row>
    <row r="583">
      <c r="G583" s="55"/>
      <c r="I583" s="56"/>
    </row>
    <row r="584">
      <c r="G584" s="55"/>
      <c r="I584" s="56"/>
    </row>
    <row r="585">
      <c r="G585" s="55"/>
      <c r="I585" s="56"/>
    </row>
    <row r="586">
      <c r="G586" s="55"/>
      <c r="I586" s="56"/>
    </row>
    <row r="587">
      <c r="G587" s="55"/>
      <c r="I587" s="56"/>
    </row>
    <row r="588">
      <c r="G588" s="55"/>
      <c r="I588" s="56"/>
    </row>
    <row r="589">
      <c r="G589" s="55"/>
      <c r="I589" s="56"/>
    </row>
    <row r="590">
      <c r="G590" s="55"/>
      <c r="I590" s="56"/>
    </row>
    <row r="591">
      <c r="G591" s="55"/>
      <c r="I591" s="56"/>
    </row>
    <row r="592">
      <c r="G592" s="55"/>
      <c r="I592" s="56"/>
    </row>
    <row r="593">
      <c r="G593" s="55"/>
      <c r="I593" s="56"/>
    </row>
    <row r="594">
      <c r="G594" s="55"/>
      <c r="I594" s="56"/>
    </row>
    <row r="595">
      <c r="G595" s="55"/>
      <c r="I595" s="56"/>
    </row>
    <row r="596">
      <c r="G596" s="55"/>
      <c r="I596" s="56"/>
    </row>
    <row r="597">
      <c r="G597" s="55"/>
      <c r="I597" s="56"/>
    </row>
    <row r="598">
      <c r="G598" s="55"/>
      <c r="I598" s="56"/>
    </row>
    <row r="599">
      <c r="G599" s="55"/>
      <c r="I599" s="56"/>
    </row>
    <row r="600">
      <c r="G600" s="55"/>
      <c r="I600" s="56"/>
    </row>
    <row r="601">
      <c r="G601" s="55"/>
      <c r="I601" s="56"/>
    </row>
    <row r="602">
      <c r="G602" s="55"/>
      <c r="I602" s="56"/>
    </row>
    <row r="603">
      <c r="G603" s="55"/>
      <c r="I603" s="56"/>
    </row>
    <row r="604">
      <c r="G604" s="55"/>
      <c r="I604" s="56"/>
    </row>
    <row r="605">
      <c r="G605" s="55"/>
      <c r="I605" s="56"/>
    </row>
    <row r="606">
      <c r="G606" s="55"/>
      <c r="I606" s="56"/>
    </row>
    <row r="607">
      <c r="G607" s="55"/>
      <c r="I607" s="56"/>
    </row>
    <row r="608">
      <c r="G608" s="55"/>
      <c r="I608" s="56"/>
    </row>
    <row r="609">
      <c r="G609" s="55"/>
      <c r="I609" s="56"/>
    </row>
    <row r="610">
      <c r="G610" s="55"/>
      <c r="I610" s="56"/>
    </row>
    <row r="611">
      <c r="G611" s="55"/>
      <c r="I611" s="56"/>
    </row>
    <row r="612">
      <c r="G612" s="55"/>
      <c r="I612" s="56"/>
    </row>
    <row r="613">
      <c r="G613" s="55"/>
      <c r="I613" s="56"/>
    </row>
    <row r="614">
      <c r="G614" s="55"/>
      <c r="I614" s="56"/>
    </row>
    <row r="615">
      <c r="G615" s="55"/>
      <c r="I615" s="56"/>
    </row>
    <row r="616">
      <c r="G616" s="55"/>
      <c r="I616" s="56"/>
    </row>
    <row r="617">
      <c r="G617" s="55"/>
      <c r="I617" s="56"/>
    </row>
    <row r="618">
      <c r="G618" s="55"/>
      <c r="I618" s="56"/>
    </row>
    <row r="619">
      <c r="G619" s="55"/>
      <c r="I619" s="56"/>
    </row>
    <row r="620">
      <c r="G620" s="55"/>
      <c r="I620" s="56"/>
    </row>
    <row r="621">
      <c r="G621" s="55"/>
      <c r="I621" s="56"/>
    </row>
    <row r="622">
      <c r="G622" s="55"/>
      <c r="I622" s="56"/>
    </row>
    <row r="623">
      <c r="G623" s="55"/>
      <c r="I623" s="56"/>
    </row>
    <row r="624">
      <c r="G624" s="55"/>
      <c r="I624" s="56"/>
    </row>
    <row r="625">
      <c r="G625" s="55"/>
      <c r="I625" s="56"/>
    </row>
    <row r="626">
      <c r="G626" s="55"/>
      <c r="I626" s="56"/>
    </row>
    <row r="627">
      <c r="G627" s="55"/>
      <c r="I627" s="56"/>
    </row>
    <row r="628">
      <c r="G628" s="55"/>
      <c r="I628" s="56"/>
    </row>
    <row r="629">
      <c r="G629" s="55"/>
      <c r="I629" s="56"/>
    </row>
    <row r="630">
      <c r="G630" s="55"/>
      <c r="I630" s="56"/>
    </row>
    <row r="631">
      <c r="G631" s="55"/>
      <c r="I631" s="56"/>
    </row>
    <row r="632">
      <c r="G632" s="55"/>
      <c r="I632" s="56"/>
    </row>
    <row r="633">
      <c r="G633" s="55"/>
      <c r="I633" s="56"/>
    </row>
    <row r="634">
      <c r="G634" s="55"/>
      <c r="I634" s="56"/>
    </row>
    <row r="635">
      <c r="G635" s="55"/>
      <c r="I635" s="56"/>
    </row>
    <row r="636">
      <c r="G636" s="55"/>
      <c r="I636" s="56"/>
    </row>
    <row r="637">
      <c r="G637" s="55"/>
      <c r="I637" s="56"/>
    </row>
    <row r="638">
      <c r="G638" s="55"/>
      <c r="I638" s="56"/>
    </row>
    <row r="639">
      <c r="G639" s="55"/>
      <c r="I639" s="56"/>
    </row>
    <row r="640">
      <c r="G640" s="55"/>
      <c r="I640" s="56"/>
    </row>
    <row r="641">
      <c r="G641" s="55"/>
      <c r="I641" s="56"/>
    </row>
    <row r="642">
      <c r="G642" s="55"/>
      <c r="I642" s="56"/>
    </row>
    <row r="643">
      <c r="G643" s="55"/>
      <c r="I643" s="56"/>
    </row>
    <row r="644">
      <c r="G644" s="55"/>
      <c r="I644" s="56"/>
    </row>
    <row r="645">
      <c r="G645" s="55"/>
      <c r="I645" s="56"/>
    </row>
    <row r="646">
      <c r="G646" s="55"/>
      <c r="I646" s="56"/>
    </row>
    <row r="647">
      <c r="G647" s="55"/>
      <c r="I647" s="56"/>
    </row>
    <row r="648">
      <c r="G648" s="55"/>
      <c r="I648" s="56"/>
    </row>
    <row r="649">
      <c r="G649" s="55"/>
      <c r="I649" s="56"/>
    </row>
    <row r="650">
      <c r="G650" s="55"/>
      <c r="I650" s="56"/>
    </row>
    <row r="651">
      <c r="G651" s="55"/>
      <c r="I651" s="56"/>
    </row>
    <row r="652">
      <c r="G652" s="55"/>
      <c r="I652" s="56"/>
    </row>
    <row r="653">
      <c r="G653" s="55"/>
      <c r="I653" s="56"/>
    </row>
    <row r="654">
      <c r="G654" s="55"/>
      <c r="I654" s="56"/>
    </row>
    <row r="655">
      <c r="G655" s="55"/>
      <c r="I655" s="56"/>
    </row>
    <row r="656">
      <c r="G656" s="55"/>
      <c r="I656" s="56"/>
    </row>
    <row r="657">
      <c r="G657" s="55"/>
      <c r="I657" s="56"/>
    </row>
    <row r="658">
      <c r="G658" s="55"/>
      <c r="I658" s="56"/>
    </row>
    <row r="659">
      <c r="G659" s="55"/>
      <c r="I659" s="56"/>
    </row>
    <row r="660">
      <c r="G660" s="55"/>
      <c r="I660" s="56"/>
    </row>
    <row r="661">
      <c r="G661" s="55"/>
      <c r="I661" s="56"/>
    </row>
    <row r="662">
      <c r="G662" s="55"/>
      <c r="I662" s="56"/>
    </row>
    <row r="663">
      <c r="G663" s="55"/>
      <c r="I663" s="56"/>
    </row>
    <row r="664">
      <c r="G664" s="55"/>
      <c r="I664" s="56"/>
    </row>
    <row r="665">
      <c r="G665" s="55"/>
      <c r="I665" s="56"/>
    </row>
    <row r="666">
      <c r="G666" s="55"/>
      <c r="I666" s="56"/>
    </row>
    <row r="667">
      <c r="G667" s="55"/>
      <c r="I667" s="56"/>
    </row>
    <row r="668">
      <c r="G668" s="55"/>
      <c r="I668" s="56"/>
    </row>
    <row r="669">
      <c r="G669" s="55"/>
      <c r="I669" s="56"/>
    </row>
    <row r="670">
      <c r="G670" s="55"/>
      <c r="I670" s="56"/>
    </row>
    <row r="671">
      <c r="G671" s="55"/>
      <c r="I671" s="56"/>
    </row>
    <row r="672">
      <c r="G672" s="55"/>
      <c r="I672" s="56"/>
    </row>
    <row r="673">
      <c r="G673" s="55"/>
      <c r="I673" s="56"/>
    </row>
    <row r="674">
      <c r="G674" s="55"/>
      <c r="I674" s="56"/>
    </row>
    <row r="675">
      <c r="G675" s="55"/>
      <c r="I675" s="56"/>
    </row>
    <row r="676">
      <c r="G676" s="55"/>
      <c r="I676" s="56"/>
    </row>
    <row r="677">
      <c r="G677" s="55"/>
      <c r="I677" s="56"/>
    </row>
    <row r="678">
      <c r="G678" s="55"/>
      <c r="I678" s="56"/>
    </row>
    <row r="679">
      <c r="G679" s="55"/>
      <c r="I679" s="56"/>
    </row>
    <row r="680">
      <c r="G680" s="55"/>
      <c r="I680" s="56"/>
    </row>
    <row r="681">
      <c r="G681" s="55"/>
      <c r="I681" s="56"/>
    </row>
    <row r="682">
      <c r="G682" s="55"/>
      <c r="I682" s="56"/>
    </row>
    <row r="683">
      <c r="G683" s="55"/>
      <c r="I683" s="56"/>
    </row>
    <row r="684">
      <c r="G684" s="55"/>
      <c r="I684" s="56"/>
    </row>
    <row r="685">
      <c r="G685" s="55"/>
      <c r="I685" s="56"/>
    </row>
    <row r="686">
      <c r="G686" s="55"/>
      <c r="I686" s="56"/>
    </row>
    <row r="687">
      <c r="G687" s="55"/>
      <c r="I687" s="56"/>
    </row>
    <row r="688">
      <c r="G688" s="55"/>
      <c r="I688" s="56"/>
    </row>
    <row r="689">
      <c r="G689" s="55"/>
      <c r="I689" s="56"/>
    </row>
    <row r="690">
      <c r="G690" s="55"/>
      <c r="I690" s="56"/>
    </row>
    <row r="691">
      <c r="G691" s="55"/>
      <c r="I691" s="56"/>
    </row>
    <row r="692">
      <c r="G692" s="55"/>
      <c r="I692" s="56"/>
    </row>
    <row r="693">
      <c r="G693" s="55"/>
      <c r="I693" s="56"/>
    </row>
    <row r="694">
      <c r="G694" s="55"/>
      <c r="I694" s="56"/>
    </row>
    <row r="695">
      <c r="G695" s="55"/>
      <c r="I695" s="56"/>
    </row>
    <row r="696">
      <c r="G696" s="55"/>
      <c r="I696" s="56"/>
    </row>
    <row r="697">
      <c r="G697" s="55"/>
      <c r="I697" s="56"/>
    </row>
    <row r="698">
      <c r="G698" s="55"/>
      <c r="I698" s="56"/>
    </row>
    <row r="699">
      <c r="G699" s="55"/>
      <c r="I699" s="56"/>
    </row>
    <row r="700">
      <c r="G700" s="55"/>
      <c r="I700" s="56"/>
    </row>
    <row r="701">
      <c r="G701" s="55"/>
      <c r="I701" s="56"/>
    </row>
    <row r="702">
      <c r="G702" s="55"/>
      <c r="I702" s="56"/>
    </row>
    <row r="703">
      <c r="G703" s="55"/>
      <c r="I703" s="56"/>
    </row>
    <row r="704">
      <c r="G704" s="55"/>
      <c r="I704" s="56"/>
    </row>
    <row r="705">
      <c r="G705" s="55"/>
      <c r="I705" s="56"/>
    </row>
    <row r="706">
      <c r="G706" s="55"/>
      <c r="I706" s="56"/>
    </row>
    <row r="707">
      <c r="G707" s="55"/>
      <c r="I707" s="56"/>
    </row>
    <row r="708">
      <c r="G708" s="55"/>
      <c r="I708" s="56"/>
    </row>
    <row r="709">
      <c r="G709" s="55"/>
      <c r="I709" s="56"/>
    </row>
    <row r="710">
      <c r="G710" s="55"/>
      <c r="I710" s="56"/>
    </row>
    <row r="711">
      <c r="G711" s="55"/>
      <c r="I711" s="56"/>
    </row>
    <row r="712">
      <c r="G712" s="55"/>
      <c r="I712" s="56"/>
    </row>
    <row r="713">
      <c r="G713" s="55"/>
      <c r="I713" s="56"/>
    </row>
    <row r="714">
      <c r="G714" s="55"/>
      <c r="I714" s="56"/>
    </row>
    <row r="715">
      <c r="G715" s="55"/>
      <c r="I715" s="56"/>
    </row>
    <row r="716">
      <c r="G716" s="55"/>
      <c r="I716" s="56"/>
    </row>
    <row r="717">
      <c r="G717" s="55"/>
      <c r="I717" s="56"/>
    </row>
    <row r="718">
      <c r="G718" s="55"/>
      <c r="I718" s="56"/>
    </row>
    <row r="719">
      <c r="G719" s="55"/>
      <c r="I719" s="56"/>
    </row>
    <row r="720">
      <c r="G720" s="55"/>
      <c r="I720" s="56"/>
    </row>
    <row r="721">
      <c r="G721" s="55"/>
      <c r="I721" s="56"/>
    </row>
    <row r="722">
      <c r="G722" s="55"/>
      <c r="I722" s="56"/>
    </row>
    <row r="723">
      <c r="G723" s="55"/>
      <c r="I723" s="56"/>
    </row>
    <row r="724">
      <c r="G724" s="55"/>
      <c r="I724" s="56"/>
    </row>
    <row r="725">
      <c r="G725" s="55"/>
      <c r="I725" s="56"/>
    </row>
    <row r="726">
      <c r="G726" s="55"/>
      <c r="I726" s="56"/>
    </row>
    <row r="727">
      <c r="G727" s="55"/>
      <c r="I727" s="56"/>
    </row>
    <row r="728">
      <c r="G728" s="55"/>
      <c r="I728" s="56"/>
    </row>
    <row r="729">
      <c r="G729" s="55"/>
      <c r="I729" s="56"/>
    </row>
    <row r="730">
      <c r="G730" s="55"/>
      <c r="I730" s="56"/>
    </row>
    <row r="731">
      <c r="G731" s="55"/>
      <c r="I731" s="56"/>
    </row>
    <row r="732">
      <c r="G732" s="55"/>
      <c r="I732" s="56"/>
    </row>
    <row r="733">
      <c r="G733" s="55"/>
      <c r="I733" s="56"/>
    </row>
    <row r="734">
      <c r="G734" s="55"/>
      <c r="I734" s="56"/>
    </row>
    <row r="735">
      <c r="G735" s="55"/>
      <c r="I735" s="56"/>
    </row>
    <row r="736">
      <c r="G736" s="55"/>
      <c r="I736" s="56"/>
    </row>
    <row r="737">
      <c r="G737" s="55"/>
      <c r="I737" s="56"/>
    </row>
    <row r="738">
      <c r="G738" s="55"/>
      <c r="I738" s="56"/>
    </row>
    <row r="739">
      <c r="G739" s="55"/>
      <c r="I739" s="56"/>
    </row>
    <row r="740">
      <c r="G740" s="55"/>
      <c r="I740" s="56"/>
    </row>
    <row r="741">
      <c r="G741" s="55"/>
      <c r="I741" s="56"/>
    </row>
    <row r="742">
      <c r="G742" s="55"/>
      <c r="I742" s="56"/>
    </row>
    <row r="743">
      <c r="G743" s="55"/>
      <c r="I743" s="56"/>
    </row>
    <row r="744">
      <c r="G744" s="55"/>
      <c r="I744" s="56"/>
    </row>
    <row r="745">
      <c r="G745" s="55"/>
      <c r="I745" s="56"/>
    </row>
    <row r="746">
      <c r="G746" s="55"/>
      <c r="I746" s="56"/>
    </row>
    <row r="747">
      <c r="G747" s="55"/>
      <c r="I747" s="56"/>
    </row>
    <row r="748">
      <c r="G748" s="55"/>
      <c r="I748" s="56"/>
    </row>
    <row r="749">
      <c r="G749" s="55"/>
      <c r="I749" s="56"/>
    </row>
    <row r="750">
      <c r="G750" s="55"/>
      <c r="I750" s="56"/>
    </row>
    <row r="751">
      <c r="G751" s="55"/>
      <c r="I751" s="56"/>
    </row>
    <row r="752">
      <c r="G752" s="55"/>
      <c r="I752" s="56"/>
    </row>
    <row r="753">
      <c r="G753" s="55"/>
      <c r="I753" s="56"/>
    </row>
    <row r="754">
      <c r="G754" s="55"/>
      <c r="I754" s="56"/>
    </row>
    <row r="755">
      <c r="G755" s="55"/>
      <c r="I755" s="56"/>
    </row>
    <row r="756">
      <c r="G756" s="55"/>
      <c r="I756" s="56"/>
    </row>
    <row r="757">
      <c r="G757" s="55"/>
      <c r="I757" s="56"/>
    </row>
    <row r="758">
      <c r="G758" s="55"/>
      <c r="I758" s="56"/>
    </row>
    <row r="759">
      <c r="G759" s="55"/>
      <c r="I759" s="56"/>
    </row>
    <row r="760">
      <c r="G760" s="55"/>
      <c r="I760" s="56"/>
    </row>
    <row r="761">
      <c r="G761" s="55"/>
      <c r="I761" s="56"/>
    </row>
    <row r="762">
      <c r="G762" s="55"/>
      <c r="I762" s="56"/>
    </row>
    <row r="763">
      <c r="G763" s="55"/>
      <c r="I763" s="56"/>
    </row>
    <row r="764">
      <c r="G764" s="55"/>
      <c r="I764" s="56"/>
    </row>
    <row r="765">
      <c r="G765" s="55"/>
      <c r="I765" s="56"/>
    </row>
    <row r="766">
      <c r="G766" s="55"/>
      <c r="I766" s="56"/>
    </row>
    <row r="767">
      <c r="G767" s="55"/>
      <c r="I767" s="56"/>
    </row>
    <row r="768">
      <c r="G768" s="55"/>
      <c r="I768" s="56"/>
    </row>
    <row r="769">
      <c r="G769" s="55"/>
      <c r="I769" s="56"/>
    </row>
    <row r="770">
      <c r="G770" s="55"/>
      <c r="I770" s="56"/>
    </row>
    <row r="771">
      <c r="G771" s="55"/>
      <c r="I771" s="56"/>
    </row>
    <row r="772">
      <c r="G772" s="55"/>
      <c r="I772" s="56"/>
    </row>
    <row r="773">
      <c r="G773" s="55"/>
      <c r="I773" s="56"/>
    </row>
    <row r="774">
      <c r="G774" s="55"/>
      <c r="I774" s="56"/>
    </row>
    <row r="775">
      <c r="G775" s="55"/>
      <c r="I775" s="56"/>
    </row>
    <row r="776">
      <c r="G776" s="55"/>
      <c r="I776" s="56"/>
    </row>
    <row r="777">
      <c r="G777" s="55"/>
      <c r="I777" s="56"/>
    </row>
    <row r="778">
      <c r="G778" s="55"/>
      <c r="I778" s="56"/>
    </row>
    <row r="779">
      <c r="G779" s="55"/>
      <c r="I779" s="56"/>
    </row>
    <row r="780">
      <c r="G780" s="55"/>
      <c r="I780" s="56"/>
    </row>
    <row r="781">
      <c r="G781" s="55"/>
      <c r="I781" s="56"/>
    </row>
    <row r="782">
      <c r="G782" s="55"/>
      <c r="I782" s="56"/>
    </row>
    <row r="783">
      <c r="G783" s="55"/>
      <c r="I783" s="56"/>
    </row>
    <row r="784">
      <c r="G784" s="55"/>
      <c r="I784" s="56"/>
    </row>
    <row r="785">
      <c r="G785" s="55"/>
      <c r="I785" s="56"/>
    </row>
    <row r="786">
      <c r="G786" s="55"/>
      <c r="I786" s="56"/>
    </row>
    <row r="787">
      <c r="G787" s="55"/>
      <c r="I787" s="56"/>
    </row>
    <row r="788">
      <c r="G788" s="55"/>
      <c r="I788" s="56"/>
    </row>
    <row r="789">
      <c r="G789" s="55"/>
      <c r="I789" s="56"/>
    </row>
    <row r="790">
      <c r="G790" s="55"/>
      <c r="I790" s="56"/>
    </row>
    <row r="791">
      <c r="G791" s="55"/>
      <c r="I791" s="56"/>
    </row>
    <row r="792">
      <c r="G792" s="55"/>
      <c r="I792" s="56"/>
    </row>
    <row r="793">
      <c r="G793" s="55"/>
      <c r="I793" s="56"/>
    </row>
    <row r="794">
      <c r="G794" s="55"/>
      <c r="I794" s="56"/>
    </row>
    <row r="795">
      <c r="G795" s="55"/>
      <c r="I795" s="56"/>
    </row>
    <row r="796">
      <c r="G796" s="55"/>
      <c r="I796" s="56"/>
    </row>
    <row r="797">
      <c r="G797" s="55"/>
      <c r="I797" s="56"/>
    </row>
    <row r="798">
      <c r="G798" s="55"/>
      <c r="I798" s="56"/>
    </row>
    <row r="799">
      <c r="G799" s="55"/>
      <c r="I799" s="56"/>
    </row>
    <row r="800">
      <c r="G800" s="55"/>
      <c r="I800" s="56"/>
    </row>
    <row r="801">
      <c r="G801" s="55"/>
      <c r="I801" s="56"/>
    </row>
    <row r="802">
      <c r="G802" s="55"/>
      <c r="I802" s="56"/>
    </row>
    <row r="803">
      <c r="G803" s="55"/>
      <c r="I803" s="56"/>
    </row>
    <row r="804">
      <c r="G804" s="55"/>
      <c r="I804" s="56"/>
    </row>
    <row r="805">
      <c r="G805" s="55"/>
      <c r="I805" s="56"/>
    </row>
    <row r="806">
      <c r="G806" s="55"/>
      <c r="I806" s="56"/>
    </row>
    <row r="807">
      <c r="G807" s="55"/>
      <c r="I807" s="56"/>
    </row>
    <row r="808">
      <c r="G808" s="55"/>
      <c r="I808" s="56"/>
    </row>
    <row r="809">
      <c r="G809" s="55"/>
      <c r="I809" s="56"/>
    </row>
    <row r="810">
      <c r="G810" s="55"/>
      <c r="I810" s="56"/>
    </row>
    <row r="811">
      <c r="G811" s="55"/>
      <c r="I811" s="56"/>
    </row>
    <row r="812">
      <c r="G812" s="55"/>
      <c r="I812" s="56"/>
    </row>
    <row r="813">
      <c r="G813" s="55"/>
      <c r="I813" s="56"/>
    </row>
    <row r="814">
      <c r="G814" s="55"/>
      <c r="I814" s="56"/>
    </row>
    <row r="815">
      <c r="G815" s="55"/>
      <c r="I815" s="56"/>
    </row>
    <row r="816">
      <c r="G816" s="55"/>
      <c r="I816" s="56"/>
    </row>
    <row r="817">
      <c r="G817" s="55"/>
      <c r="I817" s="56"/>
    </row>
    <row r="818">
      <c r="G818" s="55"/>
      <c r="I818" s="56"/>
    </row>
    <row r="819">
      <c r="G819" s="55"/>
      <c r="I819" s="56"/>
    </row>
    <row r="820">
      <c r="G820" s="55"/>
      <c r="I820" s="56"/>
    </row>
    <row r="821">
      <c r="G821" s="55"/>
      <c r="I821" s="56"/>
    </row>
    <row r="822">
      <c r="G822" s="55"/>
      <c r="I822" s="56"/>
    </row>
    <row r="823">
      <c r="G823" s="55"/>
      <c r="I823" s="56"/>
    </row>
    <row r="824">
      <c r="G824" s="55"/>
      <c r="I824" s="56"/>
    </row>
    <row r="825">
      <c r="G825" s="55"/>
      <c r="I825" s="56"/>
    </row>
    <row r="826">
      <c r="G826" s="55"/>
      <c r="I826" s="56"/>
    </row>
    <row r="827">
      <c r="G827" s="55"/>
      <c r="I827" s="56"/>
    </row>
    <row r="828">
      <c r="G828" s="55"/>
      <c r="I828" s="56"/>
    </row>
    <row r="829">
      <c r="G829" s="55"/>
      <c r="I829" s="56"/>
    </row>
    <row r="830">
      <c r="G830" s="55"/>
      <c r="I830" s="56"/>
    </row>
    <row r="831">
      <c r="G831" s="55"/>
      <c r="I831" s="56"/>
    </row>
    <row r="832">
      <c r="G832" s="55"/>
      <c r="I832" s="56"/>
    </row>
    <row r="833">
      <c r="G833" s="55"/>
      <c r="I833" s="56"/>
    </row>
    <row r="834">
      <c r="G834" s="55"/>
      <c r="I834" s="56"/>
    </row>
    <row r="835">
      <c r="G835" s="55"/>
      <c r="I835" s="56"/>
    </row>
    <row r="836">
      <c r="G836" s="55"/>
      <c r="I836" s="56"/>
    </row>
    <row r="837">
      <c r="G837" s="55"/>
      <c r="I837" s="56"/>
    </row>
    <row r="838">
      <c r="G838" s="55"/>
      <c r="I838" s="56"/>
    </row>
    <row r="839">
      <c r="G839" s="55"/>
      <c r="I839" s="56"/>
    </row>
    <row r="840">
      <c r="G840" s="55"/>
      <c r="I840" s="56"/>
    </row>
    <row r="841">
      <c r="G841" s="55"/>
      <c r="I841" s="56"/>
    </row>
    <row r="842">
      <c r="G842" s="55"/>
      <c r="I842" s="56"/>
    </row>
    <row r="843">
      <c r="G843" s="55"/>
      <c r="I843" s="56"/>
    </row>
    <row r="844">
      <c r="G844" s="55"/>
      <c r="I844" s="56"/>
    </row>
    <row r="845">
      <c r="G845" s="55"/>
      <c r="I845" s="56"/>
    </row>
    <row r="846">
      <c r="G846" s="55"/>
      <c r="I846" s="56"/>
    </row>
    <row r="847">
      <c r="G847" s="55"/>
      <c r="I847" s="56"/>
    </row>
    <row r="848">
      <c r="G848" s="55"/>
      <c r="I848" s="56"/>
    </row>
    <row r="849">
      <c r="G849" s="55"/>
      <c r="I849" s="56"/>
    </row>
    <row r="850">
      <c r="G850" s="55"/>
      <c r="I850" s="56"/>
    </row>
    <row r="851">
      <c r="G851" s="55"/>
      <c r="I851" s="56"/>
    </row>
    <row r="852">
      <c r="G852" s="55"/>
      <c r="I852" s="56"/>
    </row>
    <row r="853">
      <c r="G853" s="55"/>
      <c r="I853" s="56"/>
    </row>
    <row r="854">
      <c r="G854" s="55"/>
      <c r="I854" s="56"/>
    </row>
    <row r="855">
      <c r="G855" s="55"/>
      <c r="I855" s="56"/>
    </row>
    <row r="856">
      <c r="G856" s="55"/>
      <c r="I856" s="56"/>
    </row>
    <row r="857">
      <c r="G857" s="55"/>
      <c r="I857" s="56"/>
    </row>
    <row r="858">
      <c r="G858" s="55"/>
      <c r="I858" s="56"/>
    </row>
    <row r="859">
      <c r="G859" s="55"/>
      <c r="I859" s="56"/>
    </row>
    <row r="860">
      <c r="G860" s="55"/>
      <c r="I860" s="56"/>
    </row>
    <row r="861">
      <c r="G861" s="55"/>
      <c r="I861" s="56"/>
    </row>
    <row r="862">
      <c r="G862" s="55"/>
      <c r="I862" s="56"/>
    </row>
    <row r="863">
      <c r="G863" s="55"/>
      <c r="I863" s="56"/>
    </row>
    <row r="864">
      <c r="G864" s="55"/>
      <c r="I864" s="56"/>
    </row>
    <row r="865">
      <c r="G865" s="55"/>
      <c r="I865" s="56"/>
    </row>
    <row r="866">
      <c r="G866" s="55"/>
      <c r="I866" s="56"/>
    </row>
    <row r="867">
      <c r="G867" s="55"/>
      <c r="I867" s="56"/>
    </row>
    <row r="868">
      <c r="G868" s="55"/>
      <c r="I868" s="56"/>
    </row>
    <row r="869">
      <c r="G869" s="55"/>
      <c r="I869" s="56"/>
    </row>
    <row r="870">
      <c r="G870" s="55"/>
      <c r="I870" s="56"/>
    </row>
    <row r="871">
      <c r="G871" s="55"/>
      <c r="I871" s="56"/>
    </row>
    <row r="872">
      <c r="G872" s="55"/>
      <c r="I872" s="56"/>
    </row>
    <row r="873">
      <c r="G873" s="55"/>
      <c r="I873" s="56"/>
    </row>
    <row r="874">
      <c r="G874" s="55"/>
      <c r="I874" s="56"/>
    </row>
    <row r="875">
      <c r="G875" s="55"/>
      <c r="I875" s="56"/>
    </row>
    <row r="876">
      <c r="G876" s="55"/>
      <c r="I876" s="56"/>
    </row>
    <row r="877">
      <c r="G877" s="55"/>
      <c r="I877" s="56"/>
    </row>
    <row r="878">
      <c r="G878" s="55"/>
      <c r="I878" s="56"/>
    </row>
    <row r="879">
      <c r="G879" s="55"/>
      <c r="I879" s="56"/>
    </row>
    <row r="880">
      <c r="G880" s="55"/>
      <c r="I880" s="56"/>
    </row>
    <row r="881">
      <c r="G881" s="55"/>
      <c r="I881" s="56"/>
    </row>
    <row r="882">
      <c r="G882" s="55"/>
      <c r="I882" s="56"/>
    </row>
    <row r="883">
      <c r="G883" s="55"/>
      <c r="I883" s="56"/>
    </row>
    <row r="884">
      <c r="G884" s="55"/>
      <c r="I884" s="56"/>
    </row>
    <row r="885">
      <c r="G885" s="55"/>
      <c r="I885" s="56"/>
    </row>
    <row r="886">
      <c r="G886" s="55"/>
      <c r="I886" s="56"/>
    </row>
    <row r="887">
      <c r="G887" s="55"/>
      <c r="I887" s="56"/>
    </row>
    <row r="888">
      <c r="G888" s="55"/>
      <c r="I888" s="56"/>
    </row>
    <row r="889">
      <c r="G889" s="55"/>
      <c r="I889" s="56"/>
    </row>
    <row r="890">
      <c r="G890" s="55"/>
      <c r="I890" s="56"/>
    </row>
    <row r="891">
      <c r="G891" s="55"/>
      <c r="I891" s="56"/>
    </row>
    <row r="892">
      <c r="G892" s="55"/>
      <c r="I892" s="56"/>
    </row>
    <row r="893">
      <c r="G893" s="55"/>
      <c r="I893" s="56"/>
    </row>
    <row r="894">
      <c r="G894" s="55"/>
      <c r="I894" s="56"/>
    </row>
    <row r="895">
      <c r="G895" s="55"/>
      <c r="I895" s="56"/>
    </row>
    <row r="896">
      <c r="G896" s="55"/>
      <c r="I896" s="56"/>
    </row>
    <row r="897">
      <c r="G897" s="55"/>
      <c r="I897" s="56"/>
    </row>
    <row r="898">
      <c r="G898" s="55"/>
      <c r="I898" s="56"/>
    </row>
    <row r="899">
      <c r="G899" s="55"/>
      <c r="I899" s="56"/>
    </row>
    <row r="900">
      <c r="G900" s="55"/>
      <c r="I900" s="56"/>
    </row>
    <row r="901">
      <c r="G901" s="55"/>
      <c r="I901" s="56"/>
    </row>
    <row r="902">
      <c r="G902" s="55"/>
      <c r="I902" s="56"/>
    </row>
    <row r="903">
      <c r="G903" s="55"/>
      <c r="I903" s="56"/>
    </row>
    <row r="904">
      <c r="G904" s="55"/>
      <c r="I904" s="56"/>
    </row>
    <row r="905">
      <c r="G905" s="55"/>
      <c r="I905" s="56"/>
    </row>
    <row r="906">
      <c r="G906" s="55"/>
      <c r="I906" s="56"/>
    </row>
    <row r="907">
      <c r="G907" s="55"/>
      <c r="I907" s="56"/>
    </row>
    <row r="908">
      <c r="G908" s="55"/>
      <c r="I908" s="56"/>
    </row>
    <row r="909">
      <c r="G909" s="55"/>
      <c r="I909" s="56"/>
    </row>
    <row r="910">
      <c r="G910" s="55"/>
      <c r="I910" s="56"/>
    </row>
    <row r="911">
      <c r="G911" s="55"/>
      <c r="I911" s="56"/>
    </row>
    <row r="912">
      <c r="G912" s="55"/>
      <c r="I912" s="56"/>
    </row>
    <row r="913">
      <c r="G913" s="55"/>
      <c r="I913" s="56"/>
    </row>
    <row r="914">
      <c r="G914" s="55"/>
      <c r="I914" s="56"/>
    </row>
    <row r="915">
      <c r="G915" s="55"/>
      <c r="I915" s="56"/>
    </row>
    <row r="916">
      <c r="G916" s="55"/>
      <c r="I916" s="56"/>
    </row>
    <row r="917">
      <c r="G917" s="55"/>
      <c r="I917" s="56"/>
    </row>
    <row r="918">
      <c r="G918" s="55"/>
      <c r="I918" s="56"/>
    </row>
    <row r="919">
      <c r="G919" s="55"/>
      <c r="I919" s="56"/>
    </row>
    <row r="920">
      <c r="G920" s="55"/>
      <c r="I920" s="56"/>
    </row>
    <row r="921">
      <c r="G921" s="55"/>
      <c r="I921" s="56"/>
    </row>
    <row r="922">
      <c r="G922" s="55"/>
      <c r="I922" s="56"/>
    </row>
    <row r="923">
      <c r="G923" s="55"/>
      <c r="I923" s="56"/>
    </row>
    <row r="924">
      <c r="G924" s="55"/>
      <c r="I924" s="56"/>
    </row>
    <row r="925">
      <c r="G925" s="55"/>
      <c r="I925" s="56"/>
    </row>
    <row r="926">
      <c r="G926" s="55"/>
      <c r="I926" s="56"/>
    </row>
    <row r="927">
      <c r="G927" s="55"/>
      <c r="I927" s="56"/>
    </row>
    <row r="928">
      <c r="G928" s="55"/>
      <c r="I928" s="56"/>
    </row>
    <row r="929">
      <c r="G929" s="55"/>
      <c r="I929" s="56"/>
    </row>
    <row r="930">
      <c r="G930" s="55"/>
      <c r="I930" s="56"/>
    </row>
    <row r="931">
      <c r="G931" s="55"/>
      <c r="I931" s="56"/>
    </row>
    <row r="932">
      <c r="G932" s="55"/>
      <c r="I932" s="56"/>
    </row>
    <row r="933">
      <c r="G933" s="55"/>
      <c r="I933" s="56"/>
    </row>
    <row r="934">
      <c r="G934" s="55"/>
      <c r="I934" s="56"/>
    </row>
    <row r="935">
      <c r="G935" s="55"/>
      <c r="I935" s="56"/>
    </row>
    <row r="936">
      <c r="G936" s="55"/>
      <c r="I936" s="56"/>
    </row>
    <row r="937">
      <c r="G937" s="55"/>
      <c r="I937" s="56"/>
    </row>
    <row r="938">
      <c r="G938" s="55"/>
      <c r="I938" s="56"/>
    </row>
    <row r="939">
      <c r="G939" s="55"/>
      <c r="I939" s="56"/>
    </row>
    <row r="940">
      <c r="G940" s="55"/>
      <c r="I940" s="56"/>
    </row>
    <row r="941">
      <c r="G941" s="55"/>
      <c r="I941" s="56"/>
    </row>
    <row r="942">
      <c r="G942" s="55"/>
      <c r="I942" s="56"/>
    </row>
    <row r="943">
      <c r="G943" s="55"/>
      <c r="I943" s="56"/>
    </row>
    <row r="944">
      <c r="G944" s="55"/>
      <c r="I944" s="56"/>
    </row>
    <row r="945">
      <c r="G945" s="55"/>
      <c r="I945" s="56"/>
    </row>
    <row r="946">
      <c r="G946" s="55"/>
      <c r="I946" s="56"/>
    </row>
    <row r="947">
      <c r="G947" s="55"/>
      <c r="I947" s="56"/>
    </row>
    <row r="948">
      <c r="G948" s="55"/>
      <c r="I948" s="56"/>
    </row>
    <row r="949">
      <c r="G949" s="55"/>
      <c r="I949" s="56"/>
    </row>
    <row r="950">
      <c r="G950" s="55"/>
      <c r="I950" s="56"/>
    </row>
    <row r="951">
      <c r="G951" s="55"/>
      <c r="I951" s="56"/>
    </row>
    <row r="952">
      <c r="G952" s="55"/>
      <c r="I952" s="56"/>
    </row>
    <row r="953">
      <c r="G953" s="55"/>
      <c r="I953" s="56"/>
    </row>
    <row r="954">
      <c r="G954" s="55"/>
      <c r="I954" s="56"/>
    </row>
    <row r="955">
      <c r="G955" s="55"/>
      <c r="I955" s="56"/>
    </row>
    <row r="956">
      <c r="G956" s="55"/>
      <c r="I956" s="56"/>
    </row>
    <row r="957">
      <c r="G957" s="55"/>
      <c r="I957" s="56"/>
    </row>
    <row r="958">
      <c r="G958" s="55"/>
      <c r="I958" s="56"/>
    </row>
    <row r="959">
      <c r="G959" s="55"/>
      <c r="I959" s="56"/>
    </row>
    <row r="960">
      <c r="G960" s="55"/>
      <c r="I960" s="56"/>
    </row>
    <row r="961">
      <c r="G961" s="55"/>
      <c r="I961" s="56"/>
    </row>
    <row r="962">
      <c r="G962" s="55"/>
      <c r="I962" s="56"/>
    </row>
    <row r="963">
      <c r="G963" s="55"/>
      <c r="I963" s="56"/>
    </row>
    <row r="964">
      <c r="G964" s="55"/>
      <c r="I964" s="56"/>
    </row>
    <row r="965">
      <c r="G965" s="55"/>
      <c r="I965" s="56"/>
    </row>
    <row r="966">
      <c r="G966" s="55"/>
      <c r="I966" s="56"/>
    </row>
    <row r="967">
      <c r="G967" s="55"/>
      <c r="I967" s="56"/>
    </row>
    <row r="968">
      <c r="G968" s="55"/>
      <c r="I968" s="56"/>
    </row>
    <row r="969">
      <c r="G969" s="55"/>
      <c r="I969" s="56"/>
    </row>
    <row r="970">
      <c r="G970" s="55"/>
      <c r="I970" s="56"/>
    </row>
    <row r="971">
      <c r="G971" s="55"/>
      <c r="I971" s="56"/>
    </row>
    <row r="972">
      <c r="G972" s="55"/>
      <c r="I972" s="56"/>
    </row>
    <row r="973">
      <c r="G973" s="55"/>
      <c r="I973" s="56"/>
    </row>
    <row r="974">
      <c r="G974" s="55"/>
      <c r="I974" s="56"/>
    </row>
    <row r="975">
      <c r="G975" s="55"/>
      <c r="I975" s="56"/>
    </row>
    <row r="976">
      <c r="G976" s="55"/>
      <c r="I976" s="56"/>
    </row>
    <row r="977">
      <c r="G977" s="55"/>
      <c r="I977" s="56"/>
    </row>
    <row r="978">
      <c r="G978" s="55"/>
      <c r="I978" s="56"/>
    </row>
    <row r="979">
      <c r="G979" s="55"/>
      <c r="I979" s="56"/>
    </row>
    <row r="980">
      <c r="G980" s="55"/>
      <c r="I980" s="56"/>
    </row>
    <row r="981">
      <c r="G981" s="55"/>
      <c r="I981" s="56"/>
    </row>
    <row r="982">
      <c r="G982" s="55"/>
      <c r="I982" s="56"/>
    </row>
    <row r="983">
      <c r="G983" s="55"/>
      <c r="I983" s="56"/>
    </row>
    <row r="984">
      <c r="G984" s="55"/>
      <c r="I984" s="56"/>
    </row>
    <row r="985">
      <c r="G985" s="55"/>
      <c r="I985" s="56"/>
    </row>
    <row r="986">
      <c r="G986" s="55"/>
      <c r="I986" s="56"/>
    </row>
    <row r="987">
      <c r="G987" s="55"/>
      <c r="I987" s="56"/>
    </row>
    <row r="988">
      <c r="G988" s="55"/>
      <c r="I988" s="56"/>
    </row>
    <row r="989">
      <c r="G989" s="55"/>
      <c r="I989" s="56"/>
    </row>
    <row r="990">
      <c r="G990" s="55"/>
      <c r="I990" s="56"/>
    </row>
    <row r="991">
      <c r="G991" s="55"/>
      <c r="I991" s="56"/>
    </row>
    <row r="992">
      <c r="G992" s="55"/>
      <c r="I992" s="56"/>
    </row>
    <row r="993">
      <c r="G993" s="55"/>
      <c r="I993" s="56"/>
    </row>
    <row r="994">
      <c r="G994" s="55"/>
      <c r="I994" s="56"/>
    </row>
    <row r="995">
      <c r="G995" s="55"/>
      <c r="I995" s="56"/>
    </row>
    <row r="996">
      <c r="G996" s="55"/>
      <c r="I996" s="56"/>
    </row>
    <row r="997">
      <c r="G997" s="55"/>
      <c r="I997" s="56"/>
    </row>
    <row r="998">
      <c r="G998" s="55"/>
      <c r="I998" s="56"/>
    </row>
    <row r="999">
      <c r="G999" s="55"/>
      <c r="I999" s="56"/>
    </row>
    <row r="1000">
      <c r="G1000" s="55"/>
      <c r="I1000" s="56"/>
    </row>
    <row r="1001">
      <c r="G1001" s="55"/>
      <c r="I1001" s="56"/>
    </row>
    <row r="1002">
      <c r="G1002" s="55"/>
      <c r="I1002" s="56"/>
    </row>
    <row r="1003">
      <c r="G1003" s="55"/>
      <c r="I1003" s="56"/>
    </row>
    <row r="1004">
      <c r="G1004" s="55"/>
      <c r="I1004" s="56"/>
    </row>
    <row r="1005">
      <c r="G1005" s="55"/>
      <c r="I1005" s="56"/>
    </row>
    <row r="1006">
      <c r="G1006" s="55"/>
      <c r="I1006" s="56"/>
    </row>
  </sheetData>
  <autoFilter ref="$A$2:$T$37"/>
  <mergeCells count="4">
    <mergeCell ref="A1:N1"/>
    <mergeCell ref="P1:Q1"/>
    <mergeCell ref="R1:S1"/>
    <mergeCell ref="U1:V1"/>
  </mergeCells>
  <conditionalFormatting sqref="R3:S37">
    <cfRule type="containsText" dxfId="5" priority="1" operator="containsText" text="SIM">
      <formula>NOT(ISERROR(SEARCH(("SIM"),(R3))))</formula>
    </cfRule>
  </conditionalFormatting>
  <conditionalFormatting sqref="R3:S37">
    <cfRule type="containsText" dxfId="6" priority="2" operator="containsText" text="NÃO">
      <formula>NOT(ISERROR(SEARCH(("NÃO"),(R3))))</formula>
    </cfRule>
  </conditionalFormatting>
  <conditionalFormatting sqref="P3:P37">
    <cfRule type="containsText" dxfId="5" priority="3" operator="containsText" text="SIM">
      <formula>NOT(ISERROR(SEARCH(("SIM"),(P3))))</formula>
    </cfRule>
  </conditionalFormatting>
  <conditionalFormatting sqref="P3:P37">
    <cfRule type="containsText" dxfId="6" priority="4" operator="containsText" text="NÃO">
      <formula>NOT(ISERROR(SEARCH(("NÃO"),(P3))))</formula>
    </cfRule>
  </conditionalFormatting>
  <conditionalFormatting sqref="R40">
    <cfRule type="containsText" dxfId="9" priority="5" operator="containsText" text="false">
      <formula>NOT(ISERROR(SEARCH(("false"),(R40))))</formula>
    </cfRule>
  </conditionalFormatting>
  <conditionalFormatting sqref="A1:A1006">
    <cfRule type="containsText" dxfId="8" priority="6" operator="containsText" text="2024">
      <formula>NOT(ISERROR(SEARCH(("2024"),(A1))))</formula>
    </cfRule>
  </conditionalFormatting>
  <conditionalFormatting sqref="A1:A1006">
    <cfRule type="containsText" dxfId="10" priority="7" operator="containsText" text="2025">
      <formula>NOT(ISERROR(SEARCH(("2025"),(A1))))</formula>
    </cfRule>
  </conditionalFormatting>
  <conditionalFormatting sqref="A1:A1006">
    <cfRule type="containsText" dxfId="7" priority="8" operator="containsText" text="2026">
      <formula>NOT(ISERROR(SEARCH(("2026"),(A1))))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9.89"/>
    <col customWidth="1" min="2" max="2" width="71.78"/>
    <col customWidth="1" min="3" max="3" width="21.33"/>
    <col customWidth="1" min="4" max="4" width="16.78"/>
    <col customWidth="1" min="5" max="5" width="27.89"/>
    <col customWidth="1" min="6" max="6" width="18.33"/>
    <col customWidth="1" min="7" max="7" width="25.56"/>
    <col customWidth="1" min="8" max="8" width="14.44"/>
    <col customWidth="1" min="9" max="9" width="8.67"/>
    <col customWidth="1" min="10" max="10" width="71.78"/>
    <col customWidth="1" min="11" max="11" width="23.56"/>
    <col customWidth="1" min="12" max="12" width="87.0"/>
    <col hidden="1" min="13" max="13" width="11.22"/>
    <col customWidth="1" min="16" max="16" width="71.78"/>
    <col customWidth="1" min="17" max="17" width="21.33"/>
    <col customWidth="1" min="18" max="19" width="22.22"/>
    <col customWidth="1" min="22" max="22" width="6.89"/>
    <col customWidth="1" min="23" max="23" width="17.78"/>
    <col customWidth="1" min="24" max="24" width="23.56"/>
    <col customWidth="1" min="25" max="25" width="69.56"/>
    <col hidden="1" min="26" max="26" width="11.22"/>
  </cols>
  <sheetData>
    <row r="1">
      <c r="H1" s="22"/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>
      <c r="I33" s="36"/>
    </row>
    <row r="34">
      <c r="A34" s="36"/>
      <c r="I34" s="36"/>
    </row>
    <row r="35">
      <c r="A35" s="36"/>
      <c r="I35" s="36"/>
    </row>
    <row r="36">
      <c r="A36" s="36"/>
      <c r="I36" s="36"/>
    </row>
    <row r="37">
      <c r="A37" s="36"/>
      <c r="I37" s="36"/>
    </row>
    <row r="38">
      <c r="A38" s="36"/>
      <c r="I38" s="36"/>
    </row>
    <row r="39">
      <c r="A39" s="36"/>
      <c r="I39" s="36"/>
    </row>
    <row r="40">
      <c r="A40" s="36"/>
      <c r="I40" s="36"/>
    </row>
    <row r="41">
      <c r="A41" s="36"/>
      <c r="I41" s="36"/>
    </row>
    <row r="42">
      <c r="A42" s="36"/>
      <c r="I42" s="36"/>
    </row>
    <row r="43">
      <c r="A43" s="36"/>
      <c r="I43" s="36"/>
    </row>
    <row r="44">
      <c r="A44" s="36"/>
      <c r="I44" s="36"/>
    </row>
    <row r="45">
      <c r="A45" s="36"/>
      <c r="I45" s="36"/>
    </row>
    <row r="46">
      <c r="A46" s="36"/>
      <c r="I46" s="36"/>
    </row>
    <row r="47">
      <c r="A47" s="36"/>
      <c r="I47" s="36"/>
    </row>
    <row r="48">
      <c r="A48" s="36"/>
      <c r="I48" s="36"/>
    </row>
    <row r="49">
      <c r="A49" s="36"/>
      <c r="I49" s="36"/>
    </row>
    <row r="50">
      <c r="A50" s="36"/>
      <c r="I50" s="36"/>
    </row>
    <row r="51">
      <c r="A51" s="36"/>
      <c r="I51" s="36"/>
    </row>
    <row r="52">
      <c r="A52" s="36"/>
      <c r="I52" s="36"/>
    </row>
    <row r="53">
      <c r="A53" s="36"/>
      <c r="I53" s="36"/>
    </row>
    <row r="54">
      <c r="A54" s="36"/>
      <c r="I54" s="36"/>
    </row>
    <row r="55">
      <c r="A55" s="36"/>
      <c r="I55" s="36"/>
    </row>
    <row r="56">
      <c r="A56" s="36"/>
      <c r="I56" s="36"/>
    </row>
    <row r="57">
      <c r="A57" s="36"/>
      <c r="I57" s="36"/>
    </row>
    <row r="58">
      <c r="A58" s="36"/>
      <c r="I58" s="36"/>
    </row>
    <row r="59">
      <c r="A59" s="36"/>
      <c r="I59" s="36"/>
    </row>
    <row r="60">
      <c r="A60" s="36"/>
      <c r="I60" s="36"/>
    </row>
    <row r="61">
      <c r="A61" s="36"/>
      <c r="I61" s="36"/>
    </row>
    <row r="62">
      <c r="A62" s="36"/>
      <c r="I62" s="36"/>
    </row>
    <row r="63">
      <c r="A63" s="36"/>
      <c r="I63" s="36"/>
    </row>
    <row r="64">
      <c r="A64" s="36"/>
      <c r="I64" s="36"/>
    </row>
    <row r="65">
      <c r="A65" s="36"/>
      <c r="I65" s="36"/>
    </row>
    <row r="66">
      <c r="A66" s="36"/>
      <c r="I66" s="36"/>
    </row>
    <row r="67">
      <c r="A67" s="36"/>
      <c r="I67" s="36"/>
    </row>
    <row r="68">
      <c r="A68" s="36"/>
      <c r="I68" s="36"/>
    </row>
    <row r="69">
      <c r="A69" s="36"/>
      <c r="I69" s="36"/>
    </row>
    <row r="70">
      <c r="A70" s="36"/>
      <c r="I70" s="36"/>
    </row>
    <row r="71">
      <c r="A71" s="36"/>
      <c r="I71" s="36"/>
    </row>
    <row r="72">
      <c r="A72" s="36"/>
      <c r="I72" s="36"/>
    </row>
    <row r="73">
      <c r="A73" s="36"/>
      <c r="I73" s="36"/>
    </row>
    <row r="74">
      <c r="A74" s="36"/>
      <c r="I74" s="36"/>
    </row>
    <row r="75">
      <c r="A75" s="36"/>
      <c r="I75" s="36"/>
    </row>
    <row r="76">
      <c r="A76" s="36"/>
      <c r="I76" s="36"/>
    </row>
    <row r="77">
      <c r="A77" s="36"/>
      <c r="I77" s="36"/>
    </row>
    <row r="78">
      <c r="A78" s="36"/>
      <c r="I78" s="36"/>
    </row>
    <row r="79">
      <c r="A79" s="36"/>
      <c r="I79" s="36"/>
    </row>
    <row r="80">
      <c r="A80" s="36"/>
      <c r="I80" s="36"/>
    </row>
    <row r="81">
      <c r="A81" s="36"/>
      <c r="I81" s="36"/>
    </row>
    <row r="82">
      <c r="A82" s="36"/>
      <c r="I82" s="36"/>
    </row>
    <row r="83">
      <c r="A83" s="36"/>
      <c r="I83" s="36"/>
    </row>
    <row r="84">
      <c r="A84" s="36"/>
      <c r="I84" s="36"/>
    </row>
    <row r="85">
      <c r="A85" s="36"/>
      <c r="I85" s="36"/>
    </row>
    <row r="86">
      <c r="A86" s="36"/>
      <c r="I86" s="36"/>
    </row>
    <row r="87">
      <c r="A87" s="36"/>
      <c r="I87" s="36"/>
    </row>
    <row r="88">
      <c r="A88" s="36"/>
      <c r="I88" s="36"/>
    </row>
    <row r="89">
      <c r="A89" s="36"/>
      <c r="I89" s="36"/>
    </row>
    <row r="90">
      <c r="A90" s="36"/>
      <c r="I90" s="36"/>
    </row>
    <row r="91">
      <c r="A91" s="36"/>
      <c r="I91" s="36"/>
    </row>
    <row r="92">
      <c r="A92" s="36"/>
      <c r="I92" s="36"/>
    </row>
    <row r="93">
      <c r="A93" s="36"/>
      <c r="I93" s="36"/>
    </row>
    <row r="94">
      <c r="A94" s="36"/>
      <c r="I94" s="36"/>
    </row>
    <row r="95">
      <c r="A95" s="36"/>
      <c r="I95" s="36"/>
    </row>
    <row r="96">
      <c r="A96" s="36"/>
      <c r="I96" s="36"/>
    </row>
    <row r="97">
      <c r="A97" s="36"/>
      <c r="I97" s="36"/>
    </row>
    <row r="98">
      <c r="A98" s="36"/>
      <c r="I98" s="36"/>
    </row>
    <row r="99">
      <c r="A99" s="36"/>
      <c r="I99" s="36"/>
    </row>
    <row r="100">
      <c r="A100" s="36"/>
      <c r="I100" s="36"/>
    </row>
    <row r="101">
      <c r="A101" s="36"/>
      <c r="I101" s="36"/>
    </row>
    <row r="102">
      <c r="A102" s="36"/>
      <c r="I102" s="36"/>
    </row>
    <row r="103">
      <c r="A103" s="36"/>
      <c r="I103" s="36"/>
    </row>
    <row r="104">
      <c r="A104" s="36"/>
      <c r="I104" s="36"/>
    </row>
    <row r="105">
      <c r="A105" s="36"/>
      <c r="I105" s="36"/>
    </row>
    <row r="106">
      <c r="A106" s="36"/>
      <c r="I106" s="36"/>
    </row>
    <row r="107">
      <c r="A107" s="36"/>
      <c r="I107" s="36"/>
    </row>
    <row r="108">
      <c r="A108" s="36"/>
      <c r="I108" s="36"/>
    </row>
    <row r="109">
      <c r="A109" s="36"/>
      <c r="I109" s="36"/>
    </row>
    <row r="110">
      <c r="A110" s="36"/>
      <c r="I110" s="36"/>
    </row>
    <row r="111">
      <c r="A111" s="36"/>
      <c r="I111" s="36"/>
    </row>
    <row r="112">
      <c r="A112" s="36"/>
      <c r="I112" s="36"/>
    </row>
    <row r="113">
      <c r="A113" s="36"/>
      <c r="I113" s="36"/>
    </row>
    <row r="114">
      <c r="A114" s="36"/>
      <c r="I114" s="36"/>
    </row>
    <row r="115">
      <c r="A115" s="36"/>
      <c r="I115" s="36"/>
    </row>
    <row r="116">
      <c r="A116" s="36"/>
      <c r="I116" s="36"/>
    </row>
    <row r="117">
      <c r="A117" s="36"/>
      <c r="I117" s="36"/>
    </row>
    <row r="118">
      <c r="A118" s="36"/>
      <c r="I118" s="36"/>
    </row>
    <row r="119">
      <c r="A119" s="36"/>
      <c r="I119" s="36"/>
    </row>
    <row r="120">
      <c r="A120" s="36"/>
      <c r="I120" s="36"/>
    </row>
    <row r="121">
      <c r="A121" s="36"/>
      <c r="I121" s="36"/>
    </row>
    <row r="122">
      <c r="A122" s="36"/>
      <c r="I122" s="36"/>
    </row>
    <row r="123">
      <c r="A123" s="36"/>
      <c r="I123" s="36"/>
    </row>
    <row r="124">
      <c r="A124" s="36"/>
      <c r="I124" s="36"/>
    </row>
    <row r="125">
      <c r="A125" s="36"/>
      <c r="I125" s="36"/>
    </row>
    <row r="126">
      <c r="A126" s="36"/>
      <c r="I126" s="36"/>
    </row>
    <row r="127">
      <c r="A127" s="36"/>
      <c r="I127" s="36"/>
    </row>
    <row r="128">
      <c r="A128" s="36"/>
      <c r="I128" s="36"/>
    </row>
    <row r="129">
      <c r="A129" s="36"/>
      <c r="I129" s="36"/>
    </row>
    <row r="130">
      <c r="A130" s="36"/>
      <c r="I130" s="36"/>
    </row>
    <row r="131">
      <c r="A131" s="36"/>
      <c r="I131" s="36"/>
    </row>
    <row r="132">
      <c r="A132" s="36"/>
      <c r="I132" s="36"/>
    </row>
    <row r="133">
      <c r="A133" s="36"/>
      <c r="I133" s="36"/>
    </row>
    <row r="134">
      <c r="A134" s="36"/>
      <c r="I134" s="36"/>
    </row>
    <row r="135">
      <c r="A135" s="36"/>
      <c r="I135" s="36"/>
    </row>
    <row r="136">
      <c r="A136" s="36"/>
      <c r="I136" s="36"/>
    </row>
    <row r="137">
      <c r="A137" s="36"/>
      <c r="I137" s="36"/>
    </row>
    <row r="138">
      <c r="A138" s="36"/>
      <c r="I138" s="36"/>
    </row>
    <row r="139">
      <c r="A139" s="36"/>
      <c r="I139" s="36"/>
    </row>
    <row r="140">
      <c r="A140" s="36"/>
      <c r="I140" s="36"/>
    </row>
    <row r="141">
      <c r="A141" s="36"/>
      <c r="I141" s="36"/>
    </row>
    <row r="142">
      <c r="A142" s="36"/>
      <c r="I142" s="36"/>
    </row>
    <row r="143">
      <c r="A143" s="36"/>
      <c r="I143" s="36"/>
    </row>
    <row r="144">
      <c r="A144" s="36"/>
      <c r="I144" s="36"/>
    </row>
    <row r="145">
      <c r="A145" s="36"/>
      <c r="I145" s="36"/>
    </row>
    <row r="146">
      <c r="A146" s="36"/>
      <c r="I146" s="36"/>
    </row>
    <row r="147">
      <c r="A147" s="36"/>
      <c r="I147" s="36"/>
    </row>
    <row r="148">
      <c r="A148" s="36"/>
      <c r="I148" s="36"/>
    </row>
    <row r="149">
      <c r="A149" s="36"/>
      <c r="I149" s="36"/>
    </row>
    <row r="150">
      <c r="A150" s="36"/>
      <c r="I150" s="36"/>
    </row>
    <row r="151">
      <c r="A151" s="36"/>
      <c r="I151" s="36"/>
    </row>
    <row r="152">
      <c r="A152" s="36"/>
      <c r="I152" s="36"/>
    </row>
    <row r="153">
      <c r="A153" s="36"/>
      <c r="I153" s="36"/>
    </row>
    <row r="154">
      <c r="A154" s="36"/>
      <c r="I154" s="36"/>
    </row>
    <row r="155">
      <c r="A155" s="36"/>
      <c r="I155" s="36"/>
    </row>
    <row r="156">
      <c r="A156" s="36"/>
      <c r="I156" s="36"/>
    </row>
    <row r="157">
      <c r="A157" s="36"/>
      <c r="I157" s="36"/>
    </row>
    <row r="158">
      <c r="A158" s="36"/>
      <c r="I158" s="36"/>
    </row>
    <row r="159">
      <c r="A159" s="36"/>
      <c r="I159" s="36"/>
    </row>
    <row r="160">
      <c r="A160" s="36"/>
      <c r="I160" s="36"/>
    </row>
    <row r="161">
      <c r="A161" s="36"/>
      <c r="I161" s="36"/>
    </row>
    <row r="162">
      <c r="A162" s="36"/>
      <c r="I162" s="36"/>
    </row>
    <row r="163">
      <c r="A163" s="36"/>
      <c r="I163" s="36"/>
    </row>
    <row r="164">
      <c r="A164" s="36"/>
      <c r="I164" s="36"/>
    </row>
    <row r="165">
      <c r="A165" s="36"/>
      <c r="I165" s="36"/>
    </row>
    <row r="166">
      <c r="A166" s="36"/>
      <c r="I166" s="36"/>
    </row>
    <row r="167">
      <c r="A167" s="36"/>
      <c r="I167" s="36"/>
    </row>
    <row r="168">
      <c r="A168" s="36"/>
      <c r="I168" s="36"/>
    </row>
    <row r="169">
      <c r="A169" s="36"/>
      <c r="I169" s="36"/>
    </row>
    <row r="170">
      <c r="A170" s="36"/>
      <c r="I170" s="36"/>
    </row>
    <row r="171">
      <c r="A171" s="36"/>
      <c r="I171" s="36"/>
    </row>
    <row r="172">
      <c r="A172" s="36"/>
      <c r="I172" s="36"/>
    </row>
    <row r="173">
      <c r="A173" s="36"/>
      <c r="I173" s="36"/>
    </row>
    <row r="174">
      <c r="A174" s="36"/>
      <c r="I174" s="36"/>
    </row>
    <row r="175">
      <c r="A175" s="36"/>
      <c r="I175" s="36"/>
    </row>
    <row r="176">
      <c r="A176" s="36"/>
      <c r="I176" s="36"/>
    </row>
    <row r="177">
      <c r="A177" s="36"/>
      <c r="I177" s="36"/>
    </row>
    <row r="178">
      <c r="A178" s="36"/>
      <c r="I178" s="36"/>
    </row>
    <row r="179">
      <c r="A179" s="36"/>
      <c r="I179" s="36"/>
    </row>
    <row r="180">
      <c r="A180" s="36"/>
      <c r="I180" s="36"/>
    </row>
    <row r="181">
      <c r="A181" s="36"/>
      <c r="I181" s="36"/>
    </row>
    <row r="182">
      <c r="A182" s="36"/>
      <c r="I182" s="36"/>
    </row>
    <row r="183">
      <c r="A183" s="36"/>
      <c r="I183" s="36"/>
    </row>
    <row r="184">
      <c r="A184" s="36"/>
      <c r="I184" s="36"/>
    </row>
    <row r="185">
      <c r="A185" s="36"/>
      <c r="I185" s="36"/>
    </row>
    <row r="186">
      <c r="A186" s="36"/>
      <c r="I186" s="36"/>
    </row>
    <row r="187">
      <c r="A187" s="36"/>
      <c r="I187" s="36"/>
    </row>
    <row r="188">
      <c r="A188" s="36"/>
      <c r="I188" s="36"/>
    </row>
    <row r="189">
      <c r="A189" s="36"/>
      <c r="I189" s="36"/>
    </row>
    <row r="190">
      <c r="A190" s="36"/>
      <c r="I190" s="36"/>
    </row>
    <row r="191">
      <c r="A191" s="36"/>
      <c r="I191" s="36"/>
    </row>
    <row r="192">
      <c r="A192" s="36"/>
      <c r="I192" s="36"/>
    </row>
    <row r="193">
      <c r="A193" s="36"/>
      <c r="I193" s="36"/>
    </row>
    <row r="194">
      <c r="A194" s="36"/>
      <c r="I194" s="36"/>
    </row>
    <row r="195">
      <c r="A195" s="36"/>
      <c r="I195" s="36"/>
    </row>
    <row r="196">
      <c r="A196" s="36"/>
      <c r="I196" s="36"/>
    </row>
    <row r="197">
      <c r="A197" s="36"/>
      <c r="I197" s="36"/>
    </row>
    <row r="198">
      <c r="A198" s="36"/>
      <c r="I198" s="36"/>
    </row>
    <row r="199">
      <c r="A199" s="36"/>
      <c r="I199" s="36"/>
    </row>
    <row r="200">
      <c r="A200" s="36"/>
      <c r="I200" s="36"/>
    </row>
    <row r="201">
      <c r="A201" s="36"/>
      <c r="I201" s="36"/>
    </row>
    <row r="202">
      <c r="A202" s="36"/>
      <c r="I202" s="36"/>
    </row>
    <row r="203">
      <c r="A203" s="36"/>
      <c r="I203" s="36"/>
    </row>
    <row r="204">
      <c r="A204" s="36"/>
      <c r="I204" s="36"/>
    </row>
    <row r="205">
      <c r="A205" s="36"/>
      <c r="I205" s="36"/>
    </row>
    <row r="206">
      <c r="A206" s="36"/>
      <c r="I206" s="36"/>
    </row>
    <row r="207">
      <c r="A207" s="36"/>
      <c r="I207" s="36"/>
    </row>
    <row r="208">
      <c r="A208" s="36"/>
      <c r="I208" s="36"/>
    </row>
    <row r="209">
      <c r="A209" s="36"/>
      <c r="I209" s="36"/>
    </row>
    <row r="210">
      <c r="A210" s="36"/>
      <c r="I210" s="36"/>
    </row>
    <row r="211">
      <c r="A211" s="36"/>
      <c r="I211" s="36"/>
    </row>
    <row r="212">
      <c r="A212" s="36"/>
      <c r="I212" s="36"/>
    </row>
    <row r="213">
      <c r="A213" s="36"/>
      <c r="I213" s="36"/>
    </row>
    <row r="214">
      <c r="A214" s="36"/>
      <c r="I214" s="36"/>
    </row>
    <row r="215">
      <c r="A215" s="36"/>
      <c r="I215" s="36"/>
    </row>
    <row r="216">
      <c r="A216" s="36"/>
      <c r="I216" s="36"/>
    </row>
    <row r="217">
      <c r="A217" s="36"/>
      <c r="I217" s="36"/>
    </row>
    <row r="218">
      <c r="A218" s="36"/>
      <c r="I218" s="36"/>
    </row>
    <row r="219">
      <c r="A219" s="36"/>
      <c r="I219" s="36"/>
    </row>
    <row r="220">
      <c r="A220" s="36"/>
      <c r="I220" s="36"/>
    </row>
    <row r="221">
      <c r="A221" s="36"/>
      <c r="I221" s="36"/>
    </row>
    <row r="222">
      <c r="A222" s="36"/>
      <c r="I222" s="36"/>
    </row>
    <row r="223">
      <c r="A223" s="36"/>
      <c r="I223" s="36"/>
    </row>
    <row r="224">
      <c r="A224" s="36"/>
      <c r="I224" s="36"/>
    </row>
    <row r="225">
      <c r="A225" s="36"/>
      <c r="I225" s="36"/>
    </row>
    <row r="226">
      <c r="A226" s="36"/>
      <c r="I226" s="36"/>
    </row>
    <row r="227">
      <c r="A227" s="36"/>
      <c r="I227" s="36"/>
    </row>
    <row r="228">
      <c r="A228" s="36"/>
      <c r="I228" s="36"/>
    </row>
    <row r="229">
      <c r="A229" s="36"/>
      <c r="I229" s="36"/>
    </row>
    <row r="230">
      <c r="A230" s="36"/>
      <c r="I230" s="36"/>
    </row>
    <row r="231">
      <c r="A231" s="36"/>
      <c r="I231" s="36"/>
    </row>
    <row r="232">
      <c r="A232" s="36"/>
      <c r="I232" s="36"/>
    </row>
    <row r="233">
      <c r="A233" s="36"/>
      <c r="I233" s="36"/>
    </row>
    <row r="234">
      <c r="A234" s="36"/>
      <c r="I234" s="36"/>
    </row>
    <row r="235">
      <c r="A235" s="36"/>
      <c r="I235" s="36"/>
    </row>
    <row r="236">
      <c r="A236" s="36"/>
      <c r="I236" s="36"/>
    </row>
    <row r="237">
      <c r="A237" s="36"/>
      <c r="I237" s="36"/>
    </row>
    <row r="238">
      <c r="A238" s="36"/>
      <c r="I238" s="36"/>
    </row>
    <row r="239">
      <c r="A239" s="36"/>
      <c r="I239" s="36"/>
    </row>
    <row r="240">
      <c r="A240" s="36"/>
      <c r="I240" s="36"/>
    </row>
    <row r="241">
      <c r="A241" s="36"/>
      <c r="I241" s="36"/>
    </row>
    <row r="242">
      <c r="A242" s="36"/>
      <c r="I242" s="36"/>
    </row>
    <row r="243">
      <c r="A243" s="36"/>
      <c r="I243" s="36"/>
    </row>
    <row r="244">
      <c r="A244" s="36"/>
      <c r="I244" s="36"/>
    </row>
    <row r="245">
      <c r="A245" s="36"/>
      <c r="I245" s="36"/>
    </row>
    <row r="246">
      <c r="A246" s="36"/>
      <c r="I246" s="36"/>
    </row>
    <row r="247">
      <c r="A247" s="36"/>
      <c r="I247" s="36"/>
    </row>
    <row r="248">
      <c r="A248" s="36"/>
      <c r="I248" s="36"/>
    </row>
    <row r="249">
      <c r="A249" s="36"/>
      <c r="I249" s="36"/>
    </row>
    <row r="250">
      <c r="A250" s="36"/>
      <c r="I250" s="36"/>
    </row>
    <row r="251">
      <c r="A251" s="36"/>
      <c r="I251" s="36"/>
    </row>
    <row r="252">
      <c r="A252" s="36"/>
      <c r="I252" s="36"/>
    </row>
    <row r="253">
      <c r="A253" s="36"/>
      <c r="I253" s="36"/>
    </row>
    <row r="254">
      <c r="A254" s="36"/>
      <c r="I254" s="36"/>
    </row>
    <row r="255">
      <c r="A255" s="36"/>
      <c r="I255" s="36"/>
    </row>
    <row r="256">
      <c r="A256" s="36"/>
      <c r="I256" s="36"/>
    </row>
    <row r="257">
      <c r="A257" s="36"/>
      <c r="I257" s="36"/>
    </row>
    <row r="258">
      <c r="A258" s="36"/>
      <c r="I258" s="36"/>
    </row>
    <row r="259">
      <c r="A259" s="36"/>
      <c r="I259" s="36"/>
    </row>
    <row r="260">
      <c r="A260" s="36"/>
      <c r="I260" s="36"/>
    </row>
    <row r="261">
      <c r="A261" s="36"/>
      <c r="I261" s="36"/>
    </row>
    <row r="262">
      <c r="A262" s="36"/>
      <c r="I262" s="36"/>
    </row>
    <row r="263">
      <c r="A263" s="36"/>
      <c r="I263" s="36"/>
    </row>
    <row r="264">
      <c r="A264" s="36"/>
      <c r="I264" s="36"/>
    </row>
    <row r="265">
      <c r="A265" s="36"/>
      <c r="I265" s="36"/>
    </row>
    <row r="266">
      <c r="A266" s="36"/>
      <c r="I266" s="36"/>
    </row>
    <row r="267">
      <c r="A267" s="36"/>
      <c r="I267" s="36"/>
    </row>
    <row r="268">
      <c r="A268" s="36"/>
      <c r="I268" s="36"/>
    </row>
    <row r="269">
      <c r="A269" s="36"/>
      <c r="I269" s="36"/>
    </row>
    <row r="270">
      <c r="A270" s="36"/>
      <c r="I270" s="36"/>
    </row>
    <row r="271">
      <c r="A271" s="36"/>
      <c r="I271" s="36"/>
    </row>
    <row r="272">
      <c r="A272" s="36"/>
      <c r="I272" s="36"/>
    </row>
    <row r="273">
      <c r="A273" s="36"/>
      <c r="I273" s="36"/>
    </row>
    <row r="274">
      <c r="A274" s="36"/>
      <c r="I274" s="36"/>
    </row>
    <row r="275">
      <c r="A275" s="36"/>
      <c r="I275" s="36"/>
    </row>
    <row r="276">
      <c r="A276" s="36"/>
      <c r="I276" s="36"/>
    </row>
    <row r="277">
      <c r="A277" s="36"/>
      <c r="I277" s="36"/>
    </row>
    <row r="278">
      <c r="A278" s="36"/>
      <c r="I278" s="36"/>
    </row>
    <row r="279">
      <c r="A279" s="36"/>
      <c r="I279" s="36"/>
    </row>
    <row r="280">
      <c r="A280" s="36"/>
      <c r="I280" s="36"/>
    </row>
    <row r="281">
      <c r="A281" s="36"/>
      <c r="I281" s="36"/>
    </row>
    <row r="282">
      <c r="A282" s="36"/>
      <c r="I282" s="36"/>
    </row>
    <row r="283">
      <c r="A283" s="36"/>
      <c r="I283" s="36"/>
    </row>
    <row r="284">
      <c r="A284" s="36"/>
      <c r="I284" s="36"/>
    </row>
    <row r="285">
      <c r="A285" s="36"/>
      <c r="I285" s="36"/>
    </row>
    <row r="286">
      <c r="A286" s="36"/>
      <c r="I286" s="36"/>
    </row>
    <row r="287">
      <c r="A287" s="36"/>
      <c r="I287" s="36"/>
    </row>
    <row r="288">
      <c r="A288" s="36"/>
      <c r="I288" s="36"/>
    </row>
    <row r="289">
      <c r="A289" s="36"/>
      <c r="I289" s="36"/>
    </row>
    <row r="290">
      <c r="A290" s="36"/>
      <c r="I290" s="36"/>
    </row>
    <row r="291">
      <c r="A291" s="36"/>
      <c r="I291" s="36"/>
    </row>
    <row r="292">
      <c r="A292" s="36"/>
      <c r="I292" s="36"/>
    </row>
    <row r="293">
      <c r="A293" s="36"/>
      <c r="I293" s="36"/>
    </row>
    <row r="294">
      <c r="A294" s="36"/>
      <c r="I294" s="36"/>
    </row>
    <row r="295">
      <c r="A295" s="36"/>
      <c r="I295" s="36"/>
    </row>
    <row r="296">
      <c r="A296" s="36"/>
      <c r="I296" s="36"/>
    </row>
    <row r="297">
      <c r="A297" s="36"/>
      <c r="I297" s="36"/>
    </row>
    <row r="298">
      <c r="A298" s="36"/>
      <c r="I298" s="36"/>
    </row>
    <row r="299">
      <c r="A299" s="36"/>
      <c r="I299" s="36"/>
    </row>
    <row r="300">
      <c r="A300" s="36"/>
      <c r="I300" s="36"/>
    </row>
    <row r="301">
      <c r="A301" s="36"/>
      <c r="I301" s="36"/>
    </row>
    <row r="302">
      <c r="A302" s="36"/>
      <c r="I302" s="36"/>
    </row>
    <row r="303">
      <c r="A303" s="36"/>
      <c r="I303" s="36"/>
    </row>
    <row r="304">
      <c r="A304" s="36"/>
      <c r="I304" s="36"/>
    </row>
    <row r="305">
      <c r="A305" s="36"/>
      <c r="I305" s="36"/>
    </row>
    <row r="306">
      <c r="A306" s="36"/>
      <c r="I306" s="36"/>
    </row>
    <row r="307">
      <c r="A307" s="36"/>
      <c r="I307" s="36"/>
    </row>
    <row r="308">
      <c r="A308" s="36"/>
      <c r="I308" s="36"/>
    </row>
    <row r="309">
      <c r="A309" s="36"/>
      <c r="I309" s="36"/>
    </row>
    <row r="310">
      <c r="A310" s="36"/>
      <c r="I310" s="36"/>
    </row>
    <row r="311">
      <c r="A311" s="36"/>
      <c r="I311" s="36"/>
    </row>
    <row r="312">
      <c r="A312" s="36"/>
      <c r="I312" s="36"/>
    </row>
    <row r="313">
      <c r="A313" s="36"/>
      <c r="I313" s="36"/>
    </row>
    <row r="314">
      <c r="A314" s="36"/>
      <c r="I314" s="36"/>
    </row>
    <row r="315">
      <c r="A315" s="36"/>
      <c r="I315" s="36"/>
    </row>
    <row r="316">
      <c r="A316" s="36"/>
      <c r="I316" s="36"/>
    </row>
    <row r="317">
      <c r="A317" s="36"/>
      <c r="I317" s="36"/>
    </row>
    <row r="318">
      <c r="A318" s="36"/>
      <c r="I318" s="36"/>
    </row>
    <row r="319">
      <c r="A319" s="36"/>
      <c r="I319" s="36"/>
    </row>
    <row r="320">
      <c r="A320" s="36"/>
      <c r="I320" s="36"/>
    </row>
    <row r="321">
      <c r="A321" s="36"/>
      <c r="I321" s="36"/>
    </row>
    <row r="322">
      <c r="A322" s="36"/>
      <c r="I322" s="36"/>
    </row>
    <row r="323">
      <c r="A323" s="36"/>
      <c r="I323" s="36"/>
    </row>
    <row r="324">
      <c r="A324" s="36"/>
      <c r="I324" s="36"/>
    </row>
    <row r="325">
      <c r="A325" s="36"/>
      <c r="I325" s="36"/>
    </row>
    <row r="326">
      <c r="A326" s="36"/>
      <c r="I326" s="36"/>
    </row>
    <row r="327">
      <c r="A327" s="36"/>
      <c r="I327" s="36"/>
    </row>
    <row r="328">
      <c r="A328" s="36"/>
      <c r="I328" s="36"/>
    </row>
    <row r="329">
      <c r="A329" s="36"/>
      <c r="I329" s="36"/>
    </row>
    <row r="330">
      <c r="A330" s="36"/>
      <c r="I330" s="36"/>
    </row>
    <row r="331">
      <c r="A331" s="36"/>
      <c r="I331" s="36"/>
    </row>
    <row r="332">
      <c r="A332" s="36"/>
      <c r="I332" s="36"/>
    </row>
    <row r="333">
      <c r="A333" s="36"/>
      <c r="I333" s="36"/>
    </row>
    <row r="334">
      <c r="A334" s="36"/>
      <c r="I334" s="36"/>
    </row>
    <row r="335">
      <c r="A335" s="36"/>
      <c r="I335" s="36"/>
    </row>
    <row r="336">
      <c r="A336" s="36"/>
      <c r="I336" s="36"/>
    </row>
    <row r="337">
      <c r="A337" s="36"/>
      <c r="I337" s="36"/>
    </row>
    <row r="338">
      <c r="A338" s="36"/>
      <c r="I338" s="36"/>
    </row>
    <row r="339">
      <c r="A339" s="36"/>
      <c r="I339" s="36"/>
    </row>
    <row r="340">
      <c r="A340" s="36"/>
      <c r="I340" s="36"/>
    </row>
    <row r="341">
      <c r="A341" s="36"/>
      <c r="I341" s="36"/>
    </row>
    <row r="342">
      <c r="A342" s="36"/>
      <c r="I342" s="36"/>
    </row>
    <row r="343">
      <c r="A343" s="36"/>
      <c r="I343" s="36"/>
    </row>
    <row r="344">
      <c r="A344" s="36"/>
      <c r="I344" s="36"/>
    </row>
    <row r="345">
      <c r="A345" s="36"/>
      <c r="I345" s="36"/>
    </row>
    <row r="346">
      <c r="A346" s="36"/>
      <c r="I346" s="36"/>
    </row>
    <row r="347">
      <c r="A347" s="36"/>
      <c r="I347" s="36"/>
    </row>
    <row r="348">
      <c r="A348" s="36"/>
      <c r="I348" s="36"/>
    </row>
    <row r="349">
      <c r="A349" s="36"/>
      <c r="I349" s="36"/>
    </row>
    <row r="350">
      <c r="A350" s="36"/>
      <c r="I350" s="36"/>
    </row>
    <row r="351">
      <c r="A351" s="36"/>
      <c r="I351" s="36"/>
    </row>
    <row r="352">
      <c r="A352" s="36"/>
      <c r="I352" s="36"/>
    </row>
    <row r="353">
      <c r="A353" s="36"/>
      <c r="I353" s="36"/>
    </row>
    <row r="354">
      <c r="A354" s="36"/>
      <c r="I354" s="36"/>
    </row>
    <row r="355">
      <c r="A355" s="36"/>
      <c r="I355" s="36"/>
    </row>
    <row r="356">
      <c r="A356" s="36"/>
      <c r="I356" s="36"/>
    </row>
    <row r="357">
      <c r="A357" s="36"/>
      <c r="I357" s="36"/>
    </row>
    <row r="358">
      <c r="A358" s="36"/>
      <c r="I358" s="36"/>
    </row>
    <row r="359">
      <c r="A359" s="36"/>
      <c r="I359" s="36"/>
    </row>
    <row r="360">
      <c r="A360" s="36"/>
      <c r="I360" s="36"/>
    </row>
    <row r="361">
      <c r="A361" s="36"/>
      <c r="I361" s="36"/>
    </row>
    <row r="362">
      <c r="A362" s="36"/>
      <c r="I362" s="36"/>
    </row>
    <row r="363">
      <c r="A363" s="36"/>
      <c r="I363" s="36"/>
    </row>
    <row r="364">
      <c r="A364" s="36"/>
      <c r="I364" s="36"/>
    </row>
    <row r="365">
      <c r="A365" s="36"/>
      <c r="I365" s="36"/>
    </row>
    <row r="366">
      <c r="A366" s="36"/>
      <c r="I366" s="36"/>
    </row>
    <row r="367">
      <c r="A367" s="36"/>
      <c r="I367" s="36"/>
    </row>
    <row r="368">
      <c r="A368" s="36"/>
      <c r="I368" s="36"/>
    </row>
    <row r="369">
      <c r="A369" s="36"/>
      <c r="I369" s="36"/>
    </row>
    <row r="370">
      <c r="A370" s="36"/>
      <c r="I370" s="36"/>
    </row>
    <row r="371">
      <c r="A371" s="36"/>
      <c r="I371" s="36"/>
    </row>
    <row r="372">
      <c r="A372" s="36"/>
      <c r="I372" s="36"/>
    </row>
    <row r="373">
      <c r="A373" s="36"/>
      <c r="I373" s="36"/>
    </row>
    <row r="374">
      <c r="A374" s="36"/>
      <c r="I374" s="36"/>
    </row>
    <row r="375">
      <c r="A375" s="36"/>
      <c r="I375" s="36"/>
    </row>
    <row r="376">
      <c r="A376" s="36"/>
      <c r="I376" s="36"/>
    </row>
    <row r="377">
      <c r="A377" s="36"/>
      <c r="I377" s="36"/>
    </row>
    <row r="378">
      <c r="A378" s="36"/>
      <c r="I378" s="36"/>
    </row>
    <row r="379">
      <c r="A379" s="36"/>
      <c r="I379" s="36"/>
    </row>
    <row r="380">
      <c r="A380" s="36"/>
      <c r="I380" s="36"/>
    </row>
    <row r="381">
      <c r="A381" s="36"/>
      <c r="I381" s="36"/>
    </row>
    <row r="382">
      <c r="A382" s="36"/>
      <c r="I382" s="36"/>
    </row>
    <row r="383">
      <c r="A383" s="36"/>
      <c r="I383" s="36"/>
    </row>
    <row r="384">
      <c r="A384" s="36"/>
      <c r="I384" s="36"/>
    </row>
    <row r="385">
      <c r="A385" s="36"/>
      <c r="I385" s="36"/>
    </row>
    <row r="386">
      <c r="A386" s="36"/>
      <c r="I386" s="36"/>
    </row>
    <row r="387">
      <c r="A387" s="36"/>
      <c r="I387" s="36"/>
    </row>
    <row r="388">
      <c r="A388" s="36"/>
      <c r="I388" s="36"/>
    </row>
    <row r="389">
      <c r="A389" s="36"/>
      <c r="I389" s="36"/>
    </row>
    <row r="390">
      <c r="A390" s="36"/>
      <c r="I390" s="36"/>
    </row>
    <row r="391">
      <c r="A391" s="36"/>
      <c r="I391" s="36"/>
    </row>
    <row r="392">
      <c r="A392" s="36"/>
      <c r="I392" s="36"/>
    </row>
    <row r="393">
      <c r="A393" s="36"/>
      <c r="I393" s="36"/>
    </row>
    <row r="394">
      <c r="A394" s="36"/>
      <c r="I394" s="36"/>
    </row>
    <row r="395">
      <c r="A395" s="36"/>
      <c r="I395" s="36"/>
    </row>
    <row r="396">
      <c r="A396" s="36"/>
      <c r="I396" s="36"/>
    </row>
    <row r="397">
      <c r="A397" s="36"/>
      <c r="I397" s="36"/>
    </row>
    <row r="398">
      <c r="A398" s="36"/>
      <c r="I398" s="36"/>
    </row>
    <row r="399">
      <c r="A399" s="36"/>
      <c r="I399" s="36"/>
    </row>
    <row r="400">
      <c r="A400" s="36"/>
      <c r="I400" s="36"/>
    </row>
    <row r="401">
      <c r="A401" s="36"/>
      <c r="I401" s="36"/>
    </row>
    <row r="402">
      <c r="A402" s="36"/>
      <c r="I402" s="36"/>
    </row>
    <row r="403">
      <c r="A403" s="36"/>
      <c r="I403" s="36"/>
    </row>
    <row r="404">
      <c r="A404" s="36"/>
      <c r="I404" s="36"/>
    </row>
    <row r="405">
      <c r="A405" s="36"/>
      <c r="I405" s="36"/>
    </row>
    <row r="406">
      <c r="A406" s="36"/>
      <c r="I406" s="36"/>
    </row>
    <row r="407">
      <c r="A407" s="36"/>
      <c r="I407" s="36"/>
    </row>
    <row r="408">
      <c r="A408" s="36"/>
      <c r="I408" s="36"/>
    </row>
    <row r="409">
      <c r="A409" s="36"/>
      <c r="I409" s="36"/>
    </row>
    <row r="410">
      <c r="A410" s="36"/>
      <c r="I410" s="36"/>
    </row>
    <row r="411">
      <c r="A411" s="36"/>
      <c r="I411" s="36"/>
    </row>
    <row r="412">
      <c r="A412" s="36"/>
      <c r="I412" s="36"/>
    </row>
    <row r="413">
      <c r="A413" s="36"/>
      <c r="I413" s="36"/>
    </row>
    <row r="414">
      <c r="A414" s="36"/>
      <c r="I414" s="36"/>
    </row>
    <row r="415">
      <c r="A415" s="36"/>
      <c r="I415" s="36"/>
    </row>
    <row r="416">
      <c r="A416" s="36"/>
      <c r="I416" s="36"/>
    </row>
    <row r="417">
      <c r="A417" s="36"/>
      <c r="I417" s="36"/>
    </row>
    <row r="418">
      <c r="A418" s="36"/>
      <c r="I418" s="36"/>
    </row>
    <row r="419">
      <c r="A419" s="36"/>
      <c r="I419" s="36"/>
    </row>
    <row r="420">
      <c r="A420" s="36"/>
      <c r="I420" s="36"/>
    </row>
    <row r="421">
      <c r="A421" s="36"/>
      <c r="I421" s="36"/>
    </row>
    <row r="422">
      <c r="A422" s="36"/>
      <c r="I422" s="36"/>
    </row>
    <row r="423">
      <c r="A423" s="36"/>
      <c r="I423" s="36"/>
    </row>
    <row r="424">
      <c r="A424" s="36"/>
      <c r="I424" s="36"/>
    </row>
    <row r="425">
      <c r="A425" s="36"/>
      <c r="I425" s="36"/>
    </row>
    <row r="426">
      <c r="A426" s="36"/>
      <c r="I426" s="36"/>
    </row>
    <row r="427">
      <c r="A427" s="36"/>
      <c r="I427" s="36"/>
    </row>
    <row r="428">
      <c r="A428" s="36"/>
      <c r="I428" s="36"/>
    </row>
    <row r="429">
      <c r="A429" s="36"/>
      <c r="I429" s="36"/>
    </row>
    <row r="430">
      <c r="A430" s="36"/>
      <c r="I430" s="36"/>
    </row>
    <row r="431">
      <c r="A431" s="36"/>
      <c r="I431" s="36"/>
    </row>
    <row r="432">
      <c r="A432" s="36"/>
      <c r="I432" s="36"/>
    </row>
    <row r="433">
      <c r="A433" s="36"/>
      <c r="I433" s="36"/>
    </row>
    <row r="434">
      <c r="A434" s="36"/>
      <c r="I434" s="36"/>
    </row>
    <row r="435">
      <c r="A435" s="36"/>
      <c r="I435" s="36"/>
    </row>
    <row r="436">
      <c r="A436" s="36"/>
      <c r="I436" s="36"/>
    </row>
    <row r="437">
      <c r="A437" s="36"/>
      <c r="I437" s="36"/>
    </row>
    <row r="438">
      <c r="A438" s="36"/>
      <c r="I438" s="36"/>
    </row>
    <row r="439">
      <c r="A439" s="36"/>
      <c r="I439" s="36"/>
    </row>
    <row r="440">
      <c r="A440" s="36"/>
      <c r="I440" s="36"/>
    </row>
    <row r="441">
      <c r="A441" s="36"/>
      <c r="I441" s="36"/>
    </row>
    <row r="442">
      <c r="A442" s="36"/>
      <c r="I442" s="36"/>
    </row>
    <row r="443">
      <c r="A443" s="36"/>
      <c r="I443" s="36"/>
    </row>
    <row r="444">
      <c r="A444" s="36"/>
      <c r="I444" s="36"/>
    </row>
    <row r="445">
      <c r="A445" s="36"/>
      <c r="I445" s="36"/>
    </row>
    <row r="446">
      <c r="A446" s="36"/>
      <c r="I446" s="36"/>
    </row>
    <row r="447">
      <c r="A447" s="36"/>
      <c r="I447" s="36"/>
    </row>
    <row r="448">
      <c r="A448" s="36"/>
      <c r="I448" s="36"/>
    </row>
    <row r="449">
      <c r="A449" s="36"/>
      <c r="I449" s="36"/>
    </row>
    <row r="450">
      <c r="A450" s="36"/>
      <c r="I450" s="36"/>
    </row>
    <row r="451">
      <c r="A451" s="36"/>
      <c r="I451" s="36"/>
    </row>
    <row r="452">
      <c r="A452" s="36"/>
      <c r="I452" s="36"/>
    </row>
    <row r="453">
      <c r="A453" s="36"/>
      <c r="I453" s="36"/>
    </row>
    <row r="454">
      <c r="A454" s="36"/>
      <c r="I454" s="36"/>
    </row>
    <row r="455">
      <c r="A455" s="36"/>
      <c r="I455" s="36"/>
    </row>
    <row r="456">
      <c r="A456" s="36"/>
      <c r="I456" s="36"/>
    </row>
    <row r="457">
      <c r="A457" s="36"/>
      <c r="I457" s="36"/>
    </row>
    <row r="458">
      <c r="A458" s="36"/>
      <c r="I458" s="36"/>
    </row>
    <row r="459">
      <c r="A459" s="36"/>
      <c r="I459" s="36"/>
    </row>
    <row r="460">
      <c r="A460" s="36"/>
      <c r="I460" s="36"/>
    </row>
    <row r="461">
      <c r="A461" s="36"/>
      <c r="I461" s="36"/>
    </row>
    <row r="462">
      <c r="A462" s="36"/>
      <c r="I462" s="36"/>
    </row>
    <row r="463">
      <c r="A463" s="36"/>
      <c r="I463" s="36"/>
    </row>
    <row r="464">
      <c r="A464" s="36"/>
      <c r="I464" s="36"/>
    </row>
    <row r="465">
      <c r="A465" s="36"/>
      <c r="I465" s="36"/>
    </row>
    <row r="466">
      <c r="A466" s="36"/>
      <c r="I466" s="36"/>
    </row>
    <row r="467">
      <c r="A467" s="36"/>
      <c r="I467" s="36"/>
    </row>
    <row r="468">
      <c r="A468" s="36"/>
      <c r="I468" s="36"/>
    </row>
    <row r="469">
      <c r="A469" s="36"/>
      <c r="I469" s="36"/>
    </row>
    <row r="470">
      <c r="A470" s="36"/>
      <c r="I470" s="36"/>
    </row>
    <row r="471">
      <c r="A471" s="36"/>
      <c r="I471" s="36"/>
    </row>
    <row r="472">
      <c r="A472" s="36"/>
      <c r="I472" s="36"/>
    </row>
    <row r="473">
      <c r="A473" s="36"/>
      <c r="I473" s="36"/>
    </row>
    <row r="474">
      <c r="A474" s="36"/>
      <c r="I474" s="36"/>
    </row>
    <row r="475">
      <c r="A475" s="36"/>
      <c r="I475" s="36"/>
    </row>
    <row r="476">
      <c r="A476" s="36"/>
      <c r="I476" s="36"/>
    </row>
    <row r="477">
      <c r="A477" s="36"/>
      <c r="I477" s="36"/>
    </row>
    <row r="478">
      <c r="A478" s="36"/>
      <c r="I478" s="36"/>
    </row>
    <row r="479">
      <c r="A479" s="36"/>
      <c r="I479" s="36"/>
    </row>
    <row r="480">
      <c r="A480" s="36"/>
      <c r="I480" s="36"/>
    </row>
    <row r="481">
      <c r="A481" s="36"/>
      <c r="I481" s="36"/>
    </row>
    <row r="482">
      <c r="A482" s="36"/>
      <c r="I482" s="36"/>
    </row>
    <row r="483">
      <c r="A483" s="36"/>
      <c r="I483" s="36"/>
    </row>
    <row r="484">
      <c r="A484" s="36"/>
      <c r="I484" s="36"/>
    </row>
    <row r="485">
      <c r="A485" s="36"/>
      <c r="I485" s="36"/>
    </row>
    <row r="486">
      <c r="A486" s="36"/>
      <c r="I486" s="36"/>
    </row>
    <row r="487">
      <c r="A487" s="36"/>
      <c r="I487" s="36"/>
    </row>
    <row r="488">
      <c r="A488" s="36"/>
      <c r="I488" s="36"/>
    </row>
    <row r="489">
      <c r="A489" s="36"/>
      <c r="I489" s="36"/>
    </row>
    <row r="490">
      <c r="A490" s="36"/>
      <c r="I490" s="36"/>
    </row>
    <row r="491">
      <c r="A491" s="36"/>
      <c r="I491" s="36"/>
    </row>
    <row r="492">
      <c r="A492" s="36"/>
      <c r="I492" s="36"/>
    </row>
    <row r="493">
      <c r="A493" s="36"/>
      <c r="I493" s="36"/>
    </row>
    <row r="494">
      <c r="A494" s="36"/>
      <c r="I494" s="36"/>
    </row>
    <row r="495">
      <c r="A495" s="36"/>
      <c r="I495" s="36"/>
    </row>
    <row r="496">
      <c r="A496" s="36"/>
      <c r="I496" s="36"/>
    </row>
    <row r="497">
      <c r="A497" s="36"/>
      <c r="I497" s="36"/>
    </row>
    <row r="498">
      <c r="A498" s="36"/>
      <c r="I498" s="36"/>
    </row>
    <row r="499">
      <c r="A499" s="36"/>
      <c r="I499" s="36"/>
    </row>
    <row r="500">
      <c r="A500" s="36"/>
      <c r="I500" s="36"/>
    </row>
    <row r="501">
      <c r="A501" s="36"/>
      <c r="I501" s="36"/>
    </row>
    <row r="502">
      <c r="A502" s="36"/>
      <c r="I502" s="36"/>
    </row>
    <row r="503">
      <c r="A503" s="36"/>
      <c r="I503" s="36"/>
    </row>
    <row r="504">
      <c r="A504" s="36"/>
      <c r="I504" s="36"/>
    </row>
    <row r="505">
      <c r="A505" s="36"/>
      <c r="I505" s="36"/>
    </row>
    <row r="506">
      <c r="A506" s="36"/>
      <c r="I506" s="36"/>
    </row>
    <row r="507">
      <c r="A507" s="36"/>
      <c r="I507" s="36"/>
    </row>
    <row r="508">
      <c r="A508" s="36"/>
      <c r="I508" s="36"/>
    </row>
    <row r="509">
      <c r="A509" s="36"/>
      <c r="I509" s="36"/>
    </row>
    <row r="510">
      <c r="A510" s="36"/>
      <c r="I510" s="36"/>
    </row>
    <row r="511">
      <c r="A511" s="36"/>
      <c r="I511" s="36"/>
    </row>
    <row r="512">
      <c r="A512" s="36"/>
      <c r="I512" s="36"/>
    </row>
    <row r="513">
      <c r="A513" s="36"/>
      <c r="I513" s="36"/>
    </row>
    <row r="514">
      <c r="A514" s="36"/>
      <c r="I514" s="36"/>
    </row>
    <row r="515">
      <c r="A515" s="36"/>
      <c r="I515" s="36"/>
    </row>
    <row r="516">
      <c r="A516" s="36"/>
      <c r="I516" s="36"/>
    </row>
    <row r="517">
      <c r="A517" s="36"/>
      <c r="I517" s="36"/>
    </row>
    <row r="518">
      <c r="A518" s="36"/>
      <c r="I518" s="36"/>
    </row>
    <row r="519">
      <c r="A519" s="36"/>
      <c r="I519" s="36"/>
    </row>
    <row r="520">
      <c r="A520" s="36"/>
      <c r="I520" s="36"/>
    </row>
    <row r="521">
      <c r="A521" s="36"/>
      <c r="I521" s="36"/>
    </row>
    <row r="522">
      <c r="A522" s="36"/>
      <c r="I522" s="36"/>
    </row>
    <row r="523">
      <c r="A523" s="36"/>
      <c r="I523" s="36"/>
    </row>
    <row r="524">
      <c r="A524" s="36"/>
      <c r="I524" s="36"/>
    </row>
    <row r="525">
      <c r="A525" s="36"/>
      <c r="I525" s="36"/>
    </row>
    <row r="526">
      <c r="A526" s="36"/>
      <c r="I526" s="36"/>
    </row>
    <row r="527">
      <c r="A527" s="36"/>
      <c r="I527" s="36"/>
    </row>
    <row r="528">
      <c r="A528" s="36"/>
      <c r="I528" s="36"/>
    </row>
    <row r="529">
      <c r="A529" s="36"/>
      <c r="I529" s="36"/>
    </row>
    <row r="530">
      <c r="A530" s="36"/>
      <c r="I530" s="36"/>
    </row>
    <row r="531">
      <c r="A531" s="36"/>
      <c r="I531" s="36"/>
    </row>
    <row r="532">
      <c r="A532" s="36"/>
      <c r="I532" s="36"/>
    </row>
    <row r="533">
      <c r="A533" s="36"/>
      <c r="I533" s="36"/>
    </row>
    <row r="534">
      <c r="A534" s="36"/>
      <c r="I534" s="36"/>
    </row>
    <row r="535">
      <c r="A535" s="36"/>
      <c r="I535" s="36"/>
    </row>
    <row r="536">
      <c r="A536" s="36"/>
      <c r="I536" s="36"/>
    </row>
    <row r="537">
      <c r="A537" s="36"/>
      <c r="I537" s="36"/>
    </row>
    <row r="538">
      <c r="A538" s="36"/>
      <c r="I538" s="36"/>
    </row>
    <row r="539">
      <c r="A539" s="36"/>
      <c r="I539" s="36"/>
    </row>
    <row r="540">
      <c r="A540" s="36"/>
      <c r="I540" s="36"/>
    </row>
    <row r="541">
      <c r="A541" s="36"/>
      <c r="I541" s="36"/>
    </row>
    <row r="542">
      <c r="A542" s="36"/>
      <c r="I542" s="36"/>
    </row>
    <row r="543">
      <c r="A543" s="36"/>
      <c r="I543" s="36"/>
    </row>
    <row r="544">
      <c r="A544" s="36"/>
      <c r="I544" s="36"/>
    </row>
    <row r="545">
      <c r="A545" s="36"/>
      <c r="I545" s="36"/>
    </row>
    <row r="546">
      <c r="A546" s="36"/>
      <c r="I546" s="36"/>
    </row>
    <row r="547">
      <c r="A547" s="36"/>
      <c r="I547" s="36"/>
    </row>
    <row r="548">
      <c r="A548" s="36"/>
      <c r="I548" s="36"/>
    </row>
    <row r="549">
      <c r="A549" s="36"/>
      <c r="I549" s="36"/>
    </row>
    <row r="550">
      <c r="A550" s="36"/>
      <c r="I550" s="36"/>
    </row>
    <row r="551">
      <c r="A551" s="36"/>
      <c r="I551" s="36"/>
    </row>
    <row r="552">
      <c r="A552" s="36"/>
      <c r="I552" s="36"/>
    </row>
    <row r="553">
      <c r="A553" s="36"/>
      <c r="I553" s="36"/>
    </row>
    <row r="554">
      <c r="A554" s="36"/>
      <c r="I554" s="36"/>
    </row>
    <row r="555">
      <c r="A555" s="36"/>
      <c r="I555" s="36"/>
    </row>
    <row r="556">
      <c r="A556" s="36"/>
      <c r="I556" s="36"/>
    </row>
    <row r="557">
      <c r="A557" s="36"/>
      <c r="I557" s="36"/>
    </row>
    <row r="558">
      <c r="A558" s="36"/>
      <c r="I558" s="36"/>
    </row>
    <row r="559">
      <c r="A559" s="36"/>
      <c r="I559" s="36"/>
    </row>
    <row r="560">
      <c r="A560" s="36"/>
      <c r="I560" s="36"/>
    </row>
    <row r="561">
      <c r="A561" s="36"/>
      <c r="I561" s="36"/>
    </row>
    <row r="562">
      <c r="A562" s="36"/>
      <c r="I562" s="36"/>
    </row>
    <row r="563">
      <c r="A563" s="36"/>
      <c r="I563" s="36"/>
    </row>
    <row r="564">
      <c r="A564" s="36"/>
      <c r="I564" s="36"/>
    </row>
    <row r="565">
      <c r="A565" s="36"/>
      <c r="I565" s="36"/>
    </row>
    <row r="566">
      <c r="A566" s="36"/>
      <c r="I566" s="36"/>
    </row>
    <row r="567">
      <c r="A567" s="36"/>
      <c r="I567" s="36"/>
    </row>
    <row r="568">
      <c r="A568" s="36"/>
      <c r="I568" s="36"/>
    </row>
    <row r="569">
      <c r="A569" s="36"/>
      <c r="I569" s="36"/>
    </row>
    <row r="570">
      <c r="A570" s="36"/>
      <c r="I570" s="36"/>
    </row>
    <row r="571">
      <c r="A571" s="36"/>
      <c r="I571" s="36"/>
    </row>
    <row r="572">
      <c r="A572" s="36"/>
      <c r="I572" s="36"/>
    </row>
    <row r="573">
      <c r="A573" s="36"/>
      <c r="I573" s="36"/>
    </row>
    <row r="574">
      <c r="A574" s="36"/>
      <c r="I574" s="36"/>
    </row>
    <row r="575">
      <c r="A575" s="36"/>
      <c r="I575" s="36"/>
    </row>
    <row r="576">
      <c r="A576" s="36"/>
      <c r="I576" s="36"/>
    </row>
    <row r="577">
      <c r="A577" s="36"/>
      <c r="I577" s="36"/>
    </row>
    <row r="578">
      <c r="A578" s="36"/>
      <c r="I578" s="36"/>
    </row>
    <row r="579">
      <c r="A579" s="36"/>
      <c r="I579" s="36"/>
    </row>
    <row r="580">
      <c r="A580" s="36"/>
      <c r="I580" s="36"/>
    </row>
    <row r="581">
      <c r="A581" s="36"/>
      <c r="I581" s="36"/>
    </row>
    <row r="582">
      <c r="A582" s="36"/>
      <c r="I582" s="36"/>
    </row>
    <row r="583">
      <c r="A583" s="36"/>
      <c r="I583" s="36"/>
    </row>
    <row r="584">
      <c r="A584" s="36"/>
      <c r="I584" s="36"/>
    </row>
    <row r="585">
      <c r="A585" s="36"/>
      <c r="I585" s="36"/>
    </row>
    <row r="586">
      <c r="A586" s="36"/>
      <c r="I586" s="36"/>
    </row>
    <row r="587">
      <c r="A587" s="36"/>
      <c r="I587" s="36"/>
    </row>
    <row r="588">
      <c r="A588" s="36"/>
      <c r="I588" s="36"/>
    </row>
    <row r="589">
      <c r="A589" s="36"/>
      <c r="I589" s="36"/>
    </row>
    <row r="590">
      <c r="A590" s="36"/>
      <c r="I590" s="36"/>
    </row>
    <row r="591">
      <c r="A591" s="36"/>
      <c r="I591" s="36"/>
    </row>
    <row r="592">
      <c r="A592" s="36"/>
      <c r="I592" s="36"/>
    </row>
    <row r="593">
      <c r="A593" s="36"/>
      <c r="I593" s="36"/>
    </row>
    <row r="594">
      <c r="A594" s="36"/>
      <c r="I594" s="36"/>
    </row>
    <row r="595">
      <c r="A595" s="36"/>
      <c r="I595" s="36"/>
    </row>
    <row r="596">
      <c r="A596" s="36"/>
      <c r="I596" s="36"/>
    </row>
    <row r="597">
      <c r="A597" s="36"/>
      <c r="I597" s="36"/>
    </row>
    <row r="598">
      <c r="A598" s="36"/>
      <c r="I598" s="36"/>
    </row>
    <row r="599">
      <c r="A599" s="36"/>
      <c r="I599" s="36"/>
    </row>
    <row r="600">
      <c r="A600" s="36"/>
      <c r="I600" s="36"/>
    </row>
    <row r="601">
      <c r="A601" s="36"/>
      <c r="I601" s="36"/>
    </row>
    <row r="602">
      <c r="A602" s="36"/>
      <c r="I602" s="36"/>
    </row>
    <row r="603">
      <c r="A603" s="36"/>
      <c r="I603" s="36"/>
    </row>
    <row r="604">
      <c r="A604" s="36"/>
      <c r="I604" s="36"/>
    </row>
    <row r="605">
      <c r="A605" s="36"/>
      <c r="I605" s="36"/>
    </row>
    <row r="606">
      <c r="A606" s="36"/>
      <c r="I606" s="36"/>
    </row>
    <row r="607">
      <c r="A607" s="36"/>
      <c r="I607" s="36"/>
    </row>
    <row r="608">
      <c r="A608" s="36"/>
      <c r="I608" s="36"/>
    </row>
    <row r="609">
      <c r="A609" s="36"/>
      <c r="I609" s="36"/>
    </row>
    <row r="610">
      <c r="A610" s="36"/>
      <c r="I610" s="36"/>
    </row>
    <row r="611">
      <c r="A611" s="36"/>
      <c r="I611" s="36"/>
    </row>
    <row r="612">
      <c r="A612" s="36"/>
      <c r="I612" s="36"/>
    </row>
    <row r="613">
      <c r="A613" s="36"/>
      <c r="I613" s="36"/>
    </row>
    <row r="614">
      <c r="A614" s="36"/>
      <c r="I614" s="36"/>
    </row>
    <row r="615">
      <c r="A615" s="36"/>
      <c r="I615" s="36"/>
    </row>
    <row r="616">
      <c r="A616" s="36"/>
      <c r="I616" s="36"/>
    </row>
    <row r="617">
      <c r="A617" s="36"/>
      <c r="I617" s="36"/>
    </row>
    <row r="618">
      <c r="A618" s="36"/>
      <c r="I618" s="36"/>
    </row>
    <row r="619">
      <c r="A619" s="36"/>
      <c r="I619" s="36"/>
    </row>
    <row r="620">
      <c r="A620" s="36"/>
      <c r="I620" s="36"/>
    </row>
    <row r="621">
      <c r="A621" s="36"/>
      <c r="I621" s="36"/>
    </row>
    <row r="622">
      <c r="A622" s="36"/>
      <c r="I622" s="36"/>
    </row>
    <row r="623">
      <c r="A623" s="36"/>
      <c r="I623" s="36"/>
    </row>
    <row r="624">
      <c r="A624" s="36"/>
      <c r="I624" s="36"/>
    </row>
    <row r="625">
      <c r="A625" s="36"/>
      <c r="I625" s="36"/>
    </row>
    <row r="626">
      <c r="A626" s="36"/>
      <c r="I626" s="36"/>
    </row>
    <row r="627">
      <c r="A627" s="36"/>
      <c r="I627" s="36"/>
    </row>
    <row r="628">
      <c r="A628" s="36"/>
      <c r="I628" s="36"/>
    </row>
    <row r="629">
      <c r="A629" s="36"/>
      <c r="I629" s="36"/>
    </row>
    <row r="630">
      <c r="A630" s="36"/>
      <c r="I630" s="36"/>
    </row>
    <row r="631">
      <c r="A631" s="36"/>
      <c r="I631" s="36"/>
    </row>
    <row r="632">
      <c r="A632" s="36"/>
      <c r="I632" s="36"/>
    </row>
    <row r="633">
      <c r="A633" s="36"/>
      <c r="I633" s="36"/>
    </row>
    <row r="634">
      <c r="A634" s="36"/>
      <c r="I634" s="36"/>
    </row>
    <row r="635">
      <c r="A635" s="36"/>
      <c r="I635" s="36"/>
    </row>
    <row r="636">
      <c r="A636" s="36"/>
      <c r="I636" s="36"/>
    </row>
    <row r="637">
      <c r="A637" s="36"/>
      <c r="I637" s="36"/>
    </row>
    <row r="638">
      <c r="A638" s="36"/>
      <c r="I638" s="36"/>
    </row>
    <row r="639">
      <c r="A639" s="36"/>
      <c r="I639" s="36"/>
    </row>
    <row r="640">
      <c r="A640" s="36"/>
      <c r="I640" s="36"/>
    </row>
    <row r="641">
      <c r="A641" s="36"/>
      <c r="I641" s="36"/>
    </row>
    <row r="642">
      <c r="A642" s="36"/>
      <c r="I642" s="36"/>
    </row>
    <row r="643">
      <c r="A643" s="36"/>
      <c r="I643" s="36"/>
    </row>
    <row r="644">
      <c r="A644" s="36"/>
      <c r="I644" s="36"/>
    </row>
    <row r="645">
      <c r="A645" s="36"/>
      <c r="I645" s="36"/>
    </row>
    <row r="646">
      <c r="A646" s="36"/>
      <c r="I646" s="36"/>
    </row>
    <row r="647">
      <c r="A647" s="36"/>
      <c r="I647" s="36"/>
    </row>
    <row r="648">
      <c r="A648" s="36"/>
      <c r="I648" s="36"/>
    </row>
    <row r="649">
      <c r="A649" s="36"/>
      <c r="I649" s="36"/>
    </row>
    <row r="650">
      <c r="A650" s="36"/>
      <c r="I650" s="36"/>
    </row>
    <row r="651">
      <c r="A651" s="36"/>
      <c r="I651" s="36"/>
    </row>
    <row r="652">
      <c r="A652" s="36"/>
      <c r="I652" s="36"/>
    </row>
    <row r="653">
      <c r="A653" s="36"/>
      <c r="I653" s="36"/>
    </row>
    <row r="654">
      <c r="A654" s="36"/>
      <c r="I654" s="36"/>
    </row>
    <row r="655">
      <c r="A655" s="36"/>
      <c r="I655" s="36"/>
    </row>
    <row r="656">
      <c r="A656" s="36"/>
      <c r="I656" s="36"/>
    </row>
    <row r="657">
      <c r="A657" s="36"/>
      <c r="I657" s="36"/>
    </row>
    <row r="658">
      <c r="A658" s="36"/>
      <c r="I658" s="36"/>
    </row>
    <row r="659">
      <c r="A659" s="36"/>
      <c r="I659" s="36"/>
    </row>
    <row r="660">
      <c r="A660" s="36"/>
      <c r="I660" s="36"/>
    </row>
    <row r="661">
      <c r="A661" s="36"/>
      <c r="I661" s="36"/>
    </row>
    <row r="662">
      <c r="A662" s="36"/>
      <c r="I662" s="36"/>
    </row>
    <row r="663">
      <c r="A663" s="36"/>
      <c r="I663" s="36"/>
    </row>
    <row r="664">
      <c r="A664" s="36"/>
      <c r="I664" s="36"/>
    </row>
    <row r="665">
      <c r="A665" s="36"/>
      <c r="I665" s="36"/>
    </row>
    <row r="666">
      <c r="A666" s="36"/>
      <c r="I666" s="36"/>
    </row>
    <row r="667">
      <c r="A667" s="36"/>
      <c r="I667" s="36"/>
    </row>
    <row r="668">
      <c r="A668" s="36"/>
      <c r="I668" s="36"/>
    </row>
    <row r="669">
      <c r="A669" s="36"/>
      <c r="I669" s="36"/>
    </row>
    <row r="670">
      <c r="A670" s="36"/>
      <c r="I670" s="36"/>
    </row>
    <row r="671">
      <c r="A671" s="36"/>
      <c r="I671" s="36"/>
    </row>
    <row r="672">
      <c r="A672" s="36"/>
      <c r="I672" s="36"/>
    </row>
    <row r="673">
      <c r="A673" s="36"/>
      <c r="I673" s="36"/>
    </row>
    <row r="674">
      <c r="A674" s="36"/>
      <c r="I674" s="36"/>
    </row>
    <row r="675">
      <c r="A675" s="36"/>
      <c r="I675" s="36"/>
    </row>
    <row r="676">
      <c r="A676" s="36"/>
      <c r="I676" s="36"/>
    </row>
    <row r="677">
      <c r="A677" s="36"/>
      <c r="I677" s="36"/>
    </row>
    <row r="678">
      <c r="A678" s="36"/>
      <c r="I678" s="36"/>
    </row>
    <row r="679">
      <c r="A679" s="36"/>
      <c r="I679" s="36"/>
    </row>
    <row r="680">
      <c r="A680" s="36"/>
      <c r="I680" s="36"/>
    </row>
    <row r="681">
      <c r="A681" s="36"/>
      <c r="I681" s="36"/>
    </row>
    <row r="682">
      <c r="A682" s="36"/>
      <c r="I682" s="36"/>
    </row>
    <row r="683">
      <c r="A683" s="36"/>
      <c r="I683" s="36"/>
    </row>
    <row r="684">
      <c r="A684" s="36"/>
      <c r="I684" s="36"/>
    </row>
    <row r="685">
      <c r="A685" s="36"/>
      <c r="I685" s="36"/>
    </row>
    <row r="686">
      <c r="A686" s="36"/>
      <c r="I686" s="36"/>
    </row>
    <row r="687">
      <c r="A687" s="36"/>
      <c r="I687" s="36"/>
    </row>
    <row r="688">
      <c r="A688" s="36"/>
      <c r="I688" s="36"/>
    </row>
    <row r="689">
      <c r="A689" s="36"/>
      <c r="I689" s="36"/>
    </row>
    <row r="690">
      <c r="A690" s="36"/>
      <c r="I690" s="36"/>
    </row>
    <row r="691">
      <c r="A691" s="36"/>
      <c r="I691" s="36"/>
    </row>
    <row r="692">
      <c r="A692" s="36"/>
      <c r="I692" s="36"/>
    </row>
    <row r="693">
      <c r="A693" s="36"/>
      <c r="I693" s="36"/>
    </row>
    <row r="694">
      <c r="A694" s="36"/>
      <c r="I694" s="36"/>
    </row>
    <row r="695">
      <c r="A695" s="36"/>
      <c r="I695" s="36"/>
    </row>
    <row r="696">
      <c r="A696" s="36"/>
      <c r="I696" s="36"/>
    </row>
    <row r="697">
      <c r="A697" s="36"/>
      <c r="I697" s="36"/>
    </row>
    <row r="698">
      <c r="A698" s="36"/>
      <c r="I698" s="36"/>
    </row>
    <row r="699">
      <c r="A699" s="36"/>
      <c r="I699" s="36"/>
    </row>
    <row r="700">
      <c r="A700" s="36"/>
      <c r="I700" s="36"/>
    </row>
    <row r="701">
      <c r="A701" s="36"/>
      <c r="I701" s="36"/>
    </row>
    <row r="702">
      <c r="A702" s="36"/>
      <c r="I702" s="36"/>
    </row>
    <row r="703">
      <c r="A703" s="36"/>
      <c r="I703" s="36"/>
    </row>
    <row r="704">
      <c r="A704" s="36"/>
      <c r="I704" s="36"/>
    </row>
    <row r="705">
      <c r="A705" s="36"/>
      <c r="I705" s="36"/>
    </row>
    <row r="706">
      <c r="A706" s="36"/>
      <c r="I706" s="36"/>
    </row>
    <row r="707">
      <c r="A707" s="36"/>
      <c r="I707" s="36"/>
    </row>
    <row r="708">
      <c r="A708" s="36"/>
      <c r="I708" s="36"/>
    </row>
    <row r="709">
      <c r="A709" s="36"/>
      <c r="I709" s="36"/>
    </row>
    <row r="710">
      <c r="A710" s="36"/>
      <c r="I710" s="36"/>
    </row>
    <row r="711">
      <c r="A711" s="36"/>
      <c r="I711" s="36"/>
    </row>
    <row r="712">
      <c r="A712" s="36"/>
      <c r="I712" s="36"/>
    </row>
    <row r="713">
      <c r="A713" s="36"/>
      <c r="I713" s="36"/>
    </row>
    <row r="714">
      <c r="A714" s="36"/>
      <c r="I714" s="36"/>
    </row>
    <row r="715">
      <c r="A715" s="36"/>
      <c r="I715" s="36"/>
    </row>
    <row r="716">
      <c r="A716" s="36"/>
      <c r="I716" s="36"/>
    </row>
    <row r="717">
      <c r="A717" s="36"/>
      <c r="I717" s="36"/>
    </row>
    <row r="718">
      <c r="A718" s="36"/>
      <c r="I718" s="36"/>
    </row>
    <row r="719">
      <c r="A719" s="36"/>
      <c r="I719" s="36"/>
    </row>
    <row r="720">
      <c r="A720" s="36"/>
      <c r="I720" s="36"/>
    </row>
    <row r="721">
      <c r="A721" s="36"/>
      <c r="I721" s="36"/>
    </row>
    <row r="722">
      <c r="A722" s="36"/>
      <c r="I722" s="36"/>
    </row>
    <row r="723">
      <c r="A723" s="36"/>
      <c r="I723" s="36"/>
    </row>
    <row r="724">
      <c r="A724" s="36"/>
      <c r="I724" s="36"/>
    </row>
    <row r="725">
      <c r="A725" s="36"/>
      <c r="I725" s="36"/>
    </row>
    <row r="726">
      <c r="A726" s="36"/>
      <c r="I726" s="36"/>
    </row>
    <row r="727">
      <c r="A727" s="36"/>
      <c r="I727" s="36"/>
    </row>
    <row r="728">
      <c r="A728" s="36"/>
      <c r="I728" s="36"/>
    </row>
    <row r="729">
      <c r="A729" s="36"/>
      <c r="I729" s="36"/>
    </row>
    <row r="730">
      <c r="A730" s="36"/>
      <c r="I730" s="36"/>
    </row>
    <row r="731">
      <c r="A731" s="36"/>
      <c r="I731" s="36"/>
    </row>
    <row r="732">
      <c r="A732" s="36"/>
      <c r="I732" s="36"/>
    </row>
    <row r="733">
      <c r="A733" s="36"/>
      <c r="I733" s="36"/>
    </row>
    <row r="734">
      <c r="A734" s="36"/>
      <c r="I734" s="36"/>
    </row>
    <row r="735">
      <c r="A735" s="36"/>
      <c r="I735" s="36"/>
    </row>
    <row r="736">
      <c r="A736" s="36"/>
      <c r="I736" s="36"/>
    </row>
    <row r="737">
      <c r="A737" s="36"/>
      <c r="I737" s="36"/>
    </row>
    <row r="738">
      <c r="A738" s="36"/>
      <c r="I738" s="36"/>
    </row>
    <row r="739">
      <c r="A739" s="36"/>
      <c r="I739" s="36"/>
    </row>
    <row r="740">
      <c r="A740" s="36"/>
      <c r="I740" s="36"/>
    </row>
    <row r="741">
      <c r="A741" s="36"/>
      <c r="I741" s="36"/>
    </row>
    <row r="742">
      <c r="A742" s="36"/>
      <c r="I742" s="36"/>
    </row>
    <row r="743">
      <c r="A743" s="36"/>
      <c r="I743" s="36"/>
    </row>
    <row r="744">
      <c r="A744" s="36"/>
      <c r="I744" s="36"/>
    </row>
    <row r="745">
      <c r="A745" s="36"/>
      <c r="I745" s="36"/>
    </row>
    <row r="746">
      <c r="A746" s="36"/>
      <c r="I746" s="36"/>
    </row>
    <row r="747">
      <c r="A747" s="36"/>
      <c r="I747" s="36"/>
    </row>
    <row r="748">
      <c r="A748" s="36"/>
      <c r="I748" s="36"/>
    </row>
    <row r="749">
      <c r="A749" s="36"/>
      <c r="I749" s="36"/>
    </row>
    <row r="750">
      <c r="A750" s="36"/>
      <c r="I750" s="36"/>
    </row>
    <row r="751">
      <c r="A751" s="36"/>
      <c r="I751" s="36"/>
    </row>
    <row r="752">
      <c r="A752" s="36"/>
      <c r="I752" s="36"/>
    </row>
    <row r="753">
      <c r="A753" s="36"/>
      <c r="I753" s="36"/>
    </row>
    <row r="754">
      <c r="A754" s="36"/>
      <c r="I754" s="36"/>
    </row>
    <row r="755">
      <c r="A755" s="36"/>
      <c r="I755" s="36"/>
    </row>
    <row r="756">
      <c r="A756" s="36"/>
      <c r="I756" s="36"/>
    </row>
    <row r="757">
      <c r="A757" s="36"/>
      <c r="I757" s="36"/>
    </row>
    <row r="758">
      <c r="A758" s="36"/>
      <c r="I758" s="36"/>
    </row>
    <row r="759">
      <c r="A759" s="36"/>
      <c r="I759" s="36"/>
    </row>
    <row r="760">
      <c r="A760" s="36"/>
      <c r="I760" s="36"/>
    </row>
    <row r="761">
      <c r="A761" s="36"/>
      <c r="I761" s="36"/>
    </row>
    <row r="762">
      <c r="A762" s="36"/>
      <c r="I762" s="36"/>
    </row>
    <row r="763">
      <c r="A763" s="36"/>
      <c r="I763" s="36"/>
    </row>
    <row r="764">
      <c r="A764" s="36"/>
      <c r="I764" s="36"/>
    </row>
    <row r="765">
      <c r="A765" s="36"/>
      <c r="I765" s="36"/>
    </row>
    <row r="766">
      <c r="A766" s="36"/>
      <c r="I766" s="36"/>
    </row>
    <row r="767">
      <c r="A767" s="36"/>
      <c r="I767" s="36"/>
    </row>
    <row r="768">
      <c r="A768" s="36"/>
      <c r="I768" s="36"/>
    </row>
    <row r="769">
      <c r="A769" s="36"/>
      <c r="I769" s="36"/>
    </row>
    <row r="770">
      <c r="A770" s="36"/>
      <c r="I770" s="36"/>
    </row>
    <row r="771">
      <c r="A771" s="36"/>
      <c r="I771" s="36"/>
    </row>
    <row r="772">
      <c r="A772" s="36"/>
      <c r="I772" s="36"/>
    </row>
    <row r="773">
      <c r="A773" s="36"/>
      <c r="I773" s="36"/>
    </row>
    <row r="774">
      <c r="A774" s="36"/>
      <c r="I774" s="36"/>
    </row>
    <row r="775">
      <c r="A775" s="36"/>
      <c r="I775" s="36"/>
    </row>
    <row r="776">
      <c r="A776" s="36"/>
      <c r="I776" s="36"/>
    </row>
    <row r="777">
      <c r="A777" s="36"/>
      <c r="I777" s="36"/>
    </row>
    <row r="778">
      <c r="A778" s="36"/>
      <c r="I778" s="36"/>
    </row>
    <row r="779">
      <c r="A779" s="36"/>
      <c r="I779" s="36"/>
    </row>
    <row r="780">
      <c r="A780" s="36"/>
      <c r="I780" s="36"/>
    </row>
    <row r="781">
      <c r="A781" s="36"/>
      <c r="I781" s="36"/>
    </row>
    <row r="782">
      <c r="A782" s="36"/>
      <c r="I782" s="36"/>
    </row>
    <row r="783">
      <c r="A783" s="36"/>
      <c r="I783" s="36"/>
    </row>
    <row r="784">
      <c r="A784" s="36"/>
      <c r="I784" s="36"/>
    </row>
    <row r="785">
      <c r="A785" s="36"/>
      <c r="I785" s="36"/>
    </row>
    <row r="786">
      <c r="A786" s="36"/>
      <c r="I786" s="36"/>
    </row>
    <row r="787">
      <c r="A787" s="36"/>
      <c r="I787" s="36"/>
    </row>
    <row r="788">
      <c r="A788" s="36"/>
      <c r="I788" s="36"/>
    </row>
    <row r="789">
      <c r="A789" s="36"/>
      <c r="I789" s="36"/>
    </row>
    <row r="790">
      <c r="A790" s="36"/>
      <c r="I790" s="36"/>
    </row>
    <row r="791">
      <c r="A791" s="36"/>
      <c r="I791" s="36"/>
    </row>
    <row r="792">
      <c r="A792" s="36"/>
      <c r="I792" s="36"/>
    </row>
    <row r="793">
      <c r="A793" s="36"/>
      <c r="I793" s="36"/>
    </row>
    <row r="794">
      <c r="A794" s="36"/>
      <c r="I794" s="36"/>
    </row>
    <row r="795">
      <c r="A795" s="36"/>
      <c r="I795" s="36"/>
    </row>
    <row r="796">
      <c r="A796" s="36"/>
      <c r="I796" s="36"/>
    </row>
    <row r="797">
      <c r="A797" s="36"/>
      <c r="I797" s="36"/>
    </row>
    <row r="798">
      <c r="A798" s="36"/>
      <c r="I798" s="36"/>
    </row>
    <row r="799">
      <c r="A799" s="36"/>
      <c r="I799" s="36"/>
    </row>
    <row r="800">
      <c r="A800" s="36"/>
      <c r="I800" s="36"/>
    </row>
    <row r="801">
      <c r="A801" s="36"/>
      <c r="I801" s="36"/>
    </row>
    <row r="802">
      <c r="A802" s="36"/>
      <c r="I802" s="36"/>
    </row>
    <row r="803">
      <c r="A803" s="36"/>
      <c r="I803" s="36"/>
    </row>
    <row r="804">
      <c r="A804" s="36"/>
      <c r="I804" s="36"/>
    </row>
    <row r="805">
      <c r="A805" s="36"/>
      <c r="I805" s="36"/>
    </row>
    <row r="806">
      <c r="A806" s="36"/>
      <c r="I806" s="36"/>
    </row>
    <row r="807">
      <c r="A807" s="36"/>
      <c r="I807" s="36"/>
    </row>
    <row r="808">
      <c r="A808" s="36"/>
      <c r="I808" s="36"/>
    </row>
    <row r="809">
      <c r="A809" s="36"/>
      <c r="I809" s="36"/>
    </row>
    <row r="810">
      <c r="A810" s="36"/>
      <c r="I810" s="36"/>
    </row>
    <row r="811">
      <c r="A811" s="36"/>
      <c r="I811" s="36"/>
    </row>
    <row r="812">
      <c r="A812" s="36"/>
      <c r="I812" s="36"/>
    </row>
    <row r="813">
      <c r="A813" s="36"/>
      <c r="I813" s="36"/>
    </row>
    <row r="814">
      <c r="A814" s="36"/>
      <c r="I814" s="36"/>
    </row>
    <row r="815">
      <c r="A815" s="36"/>
      <c r="I815" s="36"/>
    </row>
    <row r="816">
      <c r="A816" s="36"/>
      <c r="I816" s="36"/>
    </row>
    <row r="817">
      <c r="A817" s="36"/>
      <c r="I817" s="36"/>
    </row>
    <row r="818">
      <c r="A818" s="36"/>
      <c r="I818" s="36"/>
    </row>
    <row r="819">
      <c r="A819" s="36"/>
      <c r="I819" s="36"/>
    </row>
    <row r="820">
      <c r="A820" s="36"/>
      <c r="I820" s="36"/>
    </row>
    <row r="821">
      <c r="A821" s="36"/>
      <c r="I821" s="36"/>
    </row>
    <row r="822">
      <c r="A822" s="36"/>
      <c r="I822" s="36"/>
    </row>
    <row r="823">
      <c r="A823" s="36"/>
      <c r="I823" s="36"/>
    </row>
    <row r="824">
      <c r="A824" s="36"/>
      <c r="I824" s="36"/>
    </row>
    <row r="825">
      <c r="A825" s="36"/>
      <c r="I825" s="36"/>
    </row>
    <row r="826">
      <c r="A826" s="36"/>
      <c r="I826" s="36"/>
    </row>
    <row r="827">
      <c r="A827" s="36"/>
      <c r="I827" s="36"/>
    </row>
    <row r="828">
      <c r="A828" s="36"/>
      <c r="I828" s="36"/>
    </row>
    <row r="829">
      <c r="A829" s="36"/>
      <c r="I829" s="36"/>
    </row>
    <row r="830">
      <c r="A830" s="36"/>
      <c r="I830" s="36"/>
    </row>
    <row r="831">
      <c r="A831" s="36"/>
      <c r="I831" s="36"/>
    </row>
    <row r="832">
      <c r="A832" s="36"/>
      <c r="I832" s="36"/>
    </row>
    <row r="833">
      <c r="A833" s="36"/>
      <c r="I833" s="36"/>
    </row>
    <row r="834">
      <c r="A834" s="36"/>
      <c r="I834" s="36"/>
    </row>
    <row r="835">
      <c r="A835" s="36"/>
      <c r="I835" s="36"/>
    </row>
    <row r="836">
      <c r="A836" s="36"/>
      <c r="I836" s="36"/>
    </row>
    <row r="837">
      <c r="A837" s="36"/>
      <c r="I837" s="36"/>
    </row>
    <row r="838">
      <c r="A838" s="36"/>
      <c r="I838" s="36"/>
    </row>
    <row r="839">
      <c r="A839" s="36"/>
      <c r="I839" s="36"/>
    </row>
    <row r="840">
      <c r="A840" s="36"/>
      <c r="I840" s="36"/>
    </row>
    <row r="841">
      <c r="A841" s="36"/>
      <c r="I841" s="36"/>
    </row>
    <row r="842">
      <c r="A842" s="36"/>
      <c r="I842" s="36"/>
    </row>
    <row r="843">
      <c r="A843" s="36"/>
      <c r="I843" s="36"/>
    </row>
    <row r="844">
      <c r="A844" s="36"/>
      <c r="I844" s="36"/>
    </row>
    <row r="845">
      <c r="A845" s="36"/>
      <c r="I845" s="36"/>
    </row>
    <row r="846">
      <c r="A846" s="36"/>
      <c r="I846" s="36"/>
    </row>
    <row r="847">
      <c r="A847" s="36"/>
      <c r="I847" s="36"/>
    </row>
    <row r="848">
      <c r="A848" s="36"/>
      <c r="I848" s="36"/>
    </row>
    <row r="849">
      <c r="A849" s="36"/>
      <c r="I849" s="36"/>
    </row>
    <row r="850">
      <c r="A850" s="36"/>
      <c r="I850" s="36"/>
    </row>
    <row r="851">
      <c r="A851" s="36"/>
      <c r="I851" s="36"/>
    </row>
    <row r="852">
      <c r="A852" s="36"/>
      <c r="I852" s="36"/>
    </row>
    <row r="853">
      <c r="A853" s="36"/>
      <c r="I853" s="36"/>
    </row>
    <row r="854">
      <c r="A854" s="36"/>
      <c r="I854" s="36"/>
    </row>
    <row r="855">
      <c r="A855" s="36"/>
      <c r="I855" s="36"/>
    </row>
    <row r="856">
      <c r="A856" s="36"/>
      <c r="I856" s="36"/>
    </row>
    <row r="857">
      <c r="A857" s="36"/>
      <c r="I857" s="36"/>
    </row>
    <row r="858">
      <c r="A858" s="36"/>
      <c r="I858" s="36"/>
    </row>
    <row r="859">
      <c r="A859" s="36"/>
      <c r="I859" s="36"/>
    </row>
    <row r="860">
      <c r="A860" s="36"/>
      <c r="I860" s="36"/>
    </row>
    <row r="861">
      <c r="A861" s="36"/>
      <c r="I861" s="36"/>
    </row>
    <row r="862">
      <c r="A862" s="36"/>
      <c r="I862" s="36"/>
    </row>
    <row r="863">
      <c r="A863" s="36"/>
      <c r="I863" s="36"/>
    </row>
    <row r="864">
      <c r="A864" s="36"/>
      <c r="I864" s="36"/>
    </row>
    <row r="865">
      <c r="A865" s="36"/>
      <c r="I865" s="36"/>
    </row>
    <row r="866">
      <c r="A866" s="36"/>
      <c r="I866" s="36"/>
    </row>
    <row r="867">
      <c r="A867" s="36"/>
      <c r="I867" s="36"/>
    </row>
    <row r="868">
      <c r="A868" s="36"/>
      <c r="I868" s="36"/>
    </row>
    <row r="869">
      <c r="A869" s="36"/>
      <c r="I869" s="36"/>
    </row>
    <row r="870">
      <c r="A870" s="36"/>
      <c r="I870" s="36"/>
    </row>
    <row r="871">
      <c r="A871" s="36"/>
      <c r="I871" s="36"/>
    </row>
    <row r="872">
      <c r="A872" s="36"/>
      <c r="I872" s="36"/>
    </row>
    <row r="873">
      <c r="A873" s="36"/>
      <c r="I873" s="36"/>
    </row>
    <row r="874">
      <c r="A874" s="36"/>
      <c r="I874" s="36"/>
    </row>
    <row r="875">
      <c r="A875" s="36"/>
      <c r="I875" s="36"/>
    </row>
    <row r="876">
      <c r="A876" s="36"/>
      <c r="I876" s="36"/>
    </row>
    <row r="877">
      <c r="A877" s="36"/>
      <c r="I877" s="36"/>
    </row>
    <row r="878">
      <c r="A878" s="36"/>
      <c r="I878" s="36"/>
    </row>
    <row r="879">
      <c r="A879" s="36"/>
      <c r="I879" s="36"/>
    </row>
    <row r="880">
      <c r="A880" s="36"/>
      <c r="I880" s="36"/>
    </row>
    <row r="881">
      <c r="A881" s="36"/>
      <c r="I881" s="36"/>
    </row>
    <row r="882">
      <c r="A882" s="36"/>
      <c r="I882" s="36"/>
    </row>
    <row r="883">
      <c r="A883" s="36"/>
      <c r="I883" s="36"/>
    </row>
    <row r="884">
      <c r="A884" s="36"/>
      <c r="I884" s="36"/>
    </row>
    <row r="885">
      <c r="A885" s="36"/>
      <c r="I885" s="36"/>
    </row>
    <row r="886">
      <c r="A886" s="36"/>
      <c r="I886" s="36"/>
    </row>
    <row r="887">
      <c r="A887" s="36"/>
      <c r="I887" s="36"/>
    </row>
    <row r="888">
      <c r="A888" s="36"/>
      <c r="I888" s="36"/>
    </row>
    <row r="889">
      <c r="A889" s="36"/>
      <c r="I889" s="36"/>
    </row>
    <row r="890">
      <c r="A890" s="36"/>
      <c r="I890" s="36"/>
    </row>
    <row r="891">
      <c r="A891" s="36"/>
      <c r="I891" s="36"/>
    </row>
    <row r="892">
      <c r="A892" s="36"/>
      <c r="I892" s="36"/>
    </row>
    <row r="893">
      <c r="A893" s="36"/>
      <c r="I893" s="36"/>
    </row>
    <row r="894">
      <c r="A894" s="36"/>
      <c r="I894" s="36"/>
    </row>
    <row r="895">
      <c r="A895" s="36"/>
      <c r="I895" s="36"/>
    </row>
    <row r="896">
      <c r="A896" s="36"/>
      <c r="I896" s="36"/>
    </row>
    <row r="897">
      <c r="A897" s="36"/>
      <c r="I897" s="36"/>
    </row>
    <row r="898">
      <c r="A898" s="36"/>
      <c r="I898" s="36"/>
    </row>
    <row r="899">
      <c r="A899" s="36"/>
      <c r="I899" s="36"/>
    </row>
    <row r="900">
      <c r="A900" s="36"/>
      <c r="I900" s="36"/>
    </row>
    <row r="901">
      <c r="A901" s="36"/>
      <c r="I901" s="36"/>
    </row>
    <row r="902">
      <c r="A902" s="36"/>
      <c r="I902" s="36"/>
    </row>
    <row r="903">
      <c r="A903" s="36"/>
      <c r="I903" s="36"/>
    </row>
    <row r="904">
      <c r="A904" s="36"/>
      <c r="I904" s="36"/>
    </row>
    <row r="905">
      <c r="A905" s="36"/>
      <c r="I905" s="36"/>
    </row>
    <row r="906">
      <c r="A906" s="36"/>
      <c r="I906" s="36"/>
    </row>
    <row r="907">
      <c r="A907" s="36"/>
      <c r="I907" s="36"/>
    </row>
    <row r="908">
      <c r="A908" s="36"/>
      <c r="I908" s="36"/>
    </row>
    <row r="909">
      <c r="A909" s="36"/>
      <c r="I909" s="36"/>
    </row>
    <row r="910">
      <c r="A910" s="36"/>
      <c r="I910" s="36"/>
    </row>
    <row r="911">
      <c r="A911" s="36"/>
      <c r="I911" s="36"/>
    </row>
    <row r="912">
      <c r="A912" s="36"/>
      <c r="I912" s="36"/>
    </row>
    <row r="913">
      <c r="A913" s="36"/>
      <c r="I913" s="36"/>
    </row>
    <row r="914">
      <c r="A914" s="36"/>
      <c r="I914" s="36"/>
    </row>
    <row r="915">
      <c r="A915" s="36"/>
      <c r="I915" s="36"/>
    </row>
    <row r="916">
      <c r="A916" s="36"/>
      <c r="I916" s="36"/>
    </row>
    <row r="917">
      <c r="A917" s="36"/>
      <c r="I917" s="36"/>
    </row>
    <row r="918">
      <c r="A918" s="36"/>
      <c r="I918" s="36"/>
    </row>
    <row r="919">
      <c r="A919" s="36"/>
      <c r="I919" s="36"/>
    </row>
    <row r="920">
      <c r="A920" s="36"/>
      <c r="I920" s="36"/>
    </row>
    <row r="921">
      <c r="A921" s="36"/>
      <c r="I921" s="36"/>
    </row>
    <row r="922">
      <c r="A922" s="36"/>
      <c r="I922" s="36"/>
    </row>
    <row r="923">
      <c r="A923" s="36"/>
      <c r="I923" s="36"/>
    </row>
    <row r="924">
      <c r="A924" s="36"/>
      <c r="I924" s="36"/>
    </row>
    <row r="925">
      <c r="A925" s="36"/>
      <c r="I925" s="36"/>
    </row>
    <row r="926">
      <c r="A926" s="36"/>
      <c r="I926" s="36"/>
    </row>
    <row r="927">
      <c r="A927" s="36"/>
      <c r="I927" s="36"/>
    </row>
    <row r="928">
      <c r="A928" s="36"/>
      <c r="I928" s="36"/>
    </row>
    <row r="929">
      <c r="A929" s="36"/>
      <c r="I929" s="36"/>
    </row>
    <row r="930">
      <c r="A930" s="36"/>
      <c r="I930" s="36"/>
    </row>
    <row r="931">
      <c r="A931" s="36"/>
      <c r="I931" s="36"/>
    </row>
    <row r="932">
      <c r="A932" s="36"/>
      <c r="I932" s="36"/>
    </row>
    <row r="933">
      <c r="A933" s="36"/>
      <c r="I933" s="36"/>
    </row>
    <row r="934">
      <c r="A934" s="36"/>
      <c r="I934" s="36"/>
    </row>
    <row r="935">
      <c r="A935" s="36"/>
      <c r="I935" s="36"/>
    </row>
    <row r="936">
      <c r="A936" s="36"/>
      <c r="I936" s="36"/>
    </row>
    <row r="937">
      <c r="A937" s="36"/>
      <c r="I937" s="36"/>
    </row>
    <row r="938">
      <c r="A938" s="36"/>
      <c r="I938" s="36"/>
    </row>
    <row r="939">
      <c r="A939" s="36"/>
      <c r="I939" s="36"/>
    </row>
    <row r="940">
      <c r="A940" s="36"/>
      <c r="I940" s="36"/>
    </row>
    <row r="941">
      <c r="A941" s="36"/>
      <c r="I941" s="36"/>
    </row>
    <row r="942">
      <c r="A942" s="36"/>
      <c r="I942" s="36"/>
    </row>
    <row r="943">
      <c r="A943" s="36"/>
      <c r="I943" s="36"/>
    </row>
    <row r="944">
      <c r="A944" s="36"/>
      <c r="I944" s="36"/>
    </row>
    <row r="945">
      <c r="A945" s="36"/>
      <c r="I945" s="36"/>
    </row>
    <row r="946">
      <c r="A946" s="36"/>
      <c r="I946" s="36"/>
    </row>
    <row r="947">
      <c r="A947" s="36"/>
      <c r="I947" s="36"/>
    </row>
    <row r="948">
      <c r="A948" s="36"/>
      <c r="I948" s="36"/>
    </row>
    <row r="949">
      <c r="A949" s="36"/>
      <c r="I949" s="36"/>
    </row>
    <row r="950">
      <c r="A950" s="36"/>
      <c r="I950" s="36"/>
    </row>
    <row r="951">
      <c r="A951" s="36"/>
      <c r="I951" s="36"/>
    </row>
    <row r="952">
      <c r="A952" s="36"/>
      <c r="I952" s="36"/>
    </row>
    <row r="953">
      <c r="A953" s="36"/>
      <c r="I953" s="36"/>
    </row>
    <row r="954">
      <c r="A954" s="36"/>
      <c r="I954" s="36"/>
    </row>
    <row r="955">
      <c r="A955" s="36"/>
      <c r="I955" s="36"/>
    </row>
    <row r="956">
      <c r="A956" s="36"/>
      <c r="I956" s="36"/>
    </row>
    <row r="957">
      <c r="A957" s="36"/>
      <c r="I957" s="36"/>
    </row>
    <row r="958">
      <c r="A958" s="36"/>
      <c r="I958" s="36"/>
    </row>
    <row r="959">
      <c r="A959" s="36"/>
      <c r="I959" s="36"/>
    </row>
    <row r="960">
      <c r="A960" s="36"/>
      <c r="I960" s="36"/>
    </row>
    <row r="961">
      <c r="A961" s="36"/>
      <c r="I961" s="36"/>
    </row>
    <row r="962">
      <c r="A962" s="36"/>
      <c r="I962" s="36"/>
    </row>
    <row r="963">
      <c r="A963" s="36"/>
      <c r="I963" s="36"/>
    </row>
    <row r="964">
      <c r="A964" s="36"/>
      <c r="I964" s="36"/>
    </row>
    <row r="965">
      <c r="A965" s="36"/>
      <c r="I965" s="36"/>
    </row>
    <row r="966">
      <c r="A966" s="36"/>
      <c r="I966" s="36"/>
    </row>
    <row r="967">
      <c r="A967" s="36"/>
      <c r="I967" s="36"/>
    </row>
    <row r="968">
      <c r="A968" s="36"/>
      <c r="I968" s="36"/>
    </row>
    <row r="969">
      <c r="A969" s="36"/>
      <c r="I969" s="36"/>
    </row>
    <row r="970">
      <c r="A970" s="36"/>
      <c r="I970" s="36"/>
    </row>
    <row r="971">
      <c r="A971" s="36"/>
      <c r="I971" s="36"/>
    </row>
    <row r="972">
      <c r="A972" s="36"/>
      <c r="I972" s="36"/>
    </row>
    <row r="973">
      <c r="A973" s="36"/>
      <c r="I973" s="36"/>
    </row>
    <row r="974">
      <c r="A974" s="36"/>
      <c r="I974" s="36"/>
    </row>
    <row r="975">
      <c r="A975" s="36"/>
      <c r="I975" s="36"/>
    </row>
    <row r="976">
      <c r="A976" s="36"/>
      <c r="I976" s="36"/>
    </row>
    <row r="977">
      <c r="A977" s="36"/>
      <c r="I977" s="36"/>
    </row>
    <row r="978">
      <c r="A978" s="36"/>
      <c r="I978" s="36"/>
    </row>
    <row r="979">
      <c r="A979" s="36"/>
      <c r="I979" s="36"/>
    </row>
    <row r="980">
      <c r="A980" s="36"/>
      <c r="I980" s="36"/>
    </row>
    <row r="981">
      <c r="A981" s="36"/>
      <c r="I981" s="36"/>
    </row>
    <row r="982">
      <c r="A982" s="36"/>
      <c r="I982" s="36"/>
    </row>
    <row r="983">
      <c r="A983" s="36"/>
      <c r="I983" s="36"/>
    </row>
    <row r="984">
      <c r="A984" s="36"/>
      <c r="I984" s="36"/>
    </row>
    <row r="985">
      <c r="A985" s="36"/>
      <c r="I985" s="36"/>
    </row>
    <row r="986">
      <c r="A986" s="36"/>
      <c r="I986" s="36"/>
    </row>
    <row r="987">
      <c r="A987" s="36"/>
      <c r="I987" s="36"/>
    </row>
    <row r="988">
      <c r="A988" s="36"/>
      <c r="I988" s="36"/>
    </row>
    <row r="989">
      <c r="A989" s="36"/>
      <c r="I989" s="36"/>
    </row>
    <row r="990">
      <c r="A990" s="36"/>
      <c r="I990" s="36"/>
    </row>
    <row r="991">
      <c r="A991" s="36"/>
      <c r="I991" s="36"/>
    </row>
    <row r="992">
      <c r="A992" s="36"/>
      <c r="I992" s="36"/>
    </row>
    <row r="993">
      <c r="A993" s="36"/>
      <c r="I993" s="36"/>
    </row>
    <row r="994">
      <c r="A994" s="36"/>
      <c r="I994" s="36"/>
    </row>
    <row r="995">
      <c r="A995" s="36"/>
      <c r="I995" s="36"/>
    </row>
    <row r="996">
      <c r="A996" s="36"/>
      <c r="I996" s="36"/>
    </row>
    <row r="997">
      <c r="A997" s="36"/>
      <c r="I997" s="36"/>
    </row>
    <row r="998">
      <c r="A998" s="36"/>
      <c r="I998" s="36"/>
    </row>
    <row r="999">
      <c r="A999" s="36"/>
      <c r="I999" s="36"/>
    </row>
    <row r="1000">
      <c r="A1000" s="36"/>
      <c r="I1000" s="36"/>
    </row>
  </sheetData>
  <autoFilter ref="$A$1:$G$34"/>
  <conditionalFormatting sqref="Q2:S35">
    <cfRule type="cellIs" dxfId="0" priority="1" operator="between">
      <formula>"01/01/2024"</formula>
      <formula>"31/12/2024"</formula>
    </cfRule>
  </conditionalFormatting>
  <conditionalFormatting sqref="Q2:S35">
    <cfRule type="cellIs" dxfId="1" priority="2" operator="between">
      <formula>"01/01/2025"</formula>
      <formula>"31/12/2025"</formula>
    </cfRule>
  </conditionalFormatting>
  <conditionalFormatting sqref="Q2:S35">
    <cfRule type="cellIs" dxfId="2" priority="3" operator="between">
      <formula>"01/01/2026"</formula>
      <formula>"31/12/2026"</formula>
    </cfRule>
  </conditionalFormatting>
  <conditionalFormatting sqref="Q2:S35">
    <cfRule type="cellIs" dxfId="3" priority="4" operator="between">
      <formula>"01/01/2027"</formula>
      <formula>"31/12/2027"</formula>
    </cfRule>
  </conditionalFormatting>
  <conditionalFormatting sqref="Q2:S35">
    <cfRule type="cellIs" dxfId="4" priority="5" operator="between">
      <formula>"01/01/2028"</formula>
      <formula>"31/12/2028"</formula>
    </cfRule>
  </conditionalFormatting>
  <conditionalFormatting sqref="O1:O35 A2:A33 I2:I33 V2:V31">
    <cfRule type="containsText" dxfId="0" priority="6" operator="containsText" text="2024">
      <formula>NOT(ISERROR(SEARCH(("2024"),(O1))))</formula>
    </cfRule>
  </conditionalFormatting>
  <conditionalFormatting sqref="O1:O35 A2:A33 I2:I33 V2:V31">
    <cfRule type="containsText" dxfId="1" priority="7" operator="containsText" text="2025">
      <formula>NOT(ISERROR(SEARCH(("2025"),(O1))))</formula>
    </cfRule>
  </conditionalFormatting>
  <conditionalFormatting sqref="O1:O1000 A2:A33 I2:I33 V2:V31">
    <cfRule type="containsText" dxfId="2" priority="8" operator="containsText" text="2026">
      <formula>NOT(ISERROR(SEARCH(("2026"),(O1))))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1.22" defaultRowHeight="15.75"/>
  <cols>
    <col customWidth="1" min="1" max="1" width="9.33"/>
    <col customWidth="1" min="2" max="2" width="43.89"/>
    <col customWidth="1" min="3" max="3" width="12.67"/>
    <col customWidth="1" min="4" max="4" width="25.22"/>
    <col customWidth="1" min="6" max="6" width="19.44"/>
    <col hidden="1" min="7" max="7" width="11.22"/>
    <col customWidth="1" min="8" max="8" width="13.22"/>
    <col customWidth="1" min="9" max="12" width="16.33"/>
    <col customWidth="1" min="13" max="15" width="14.33"/>
    <col customWidth="1" min="16" max="16" width="13.11"/>
    <col customWidth="1" min="17" max="17" width="14.33"/>
    <col customWidth="1" min="18" max="19" width="15.0"/>
    <col customWidth="1" min="20" max="20" width="38.78"/>
    <col customWidth="1" min="21" max="21" width="13.78"/>
    <col customWidth="1" min="22" max="22" width="28.56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1" t="s">
        <v>1</v>
      </c>
      <c r="Q1" s="3"/>
      <c r="R1" s="1" t="s">
        <v>11</v>
      </c>
      <c r="S1" s="3"/>
      <c r="T1" s="4" t="s">
        <v>3</v>
      </c>
      <c r="U1" s="1" t="s">
        <v>4</v>
      </c>
      <c r="V1" s="3"/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5" t="s">
        <v>27</v>
      </c>
      <c r="S2" s="5" t="s">
        <v>24</v>
      </c>
      <c r="T2" s="5" t="s">
        <v>29</v>
      </c>
      <c r="U2" s="5" t="s">
        <v>26</v>
      </c>
      <c r="V2" s="5" t="s">
        <v>28</v>
      </c>
      <c r="W2" s="5" t="s">
        <v>30</v>
      </c>
    </row>
    <row r="3">
      <c r="A3" s="8">
        <v>2024.0</v>
      </c>
      <c r="B3" s="9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10" t="s">
        <v>37</v>
      </c>
      <c r="H3" s="8" t="s">
        <v>39</v>
      </c>
      <c r="I3" s="8">
        <v>5.400020240014E12</v>
      </c>
      <c r="J3" s="9" t="s">
        <v>42</v>
      </c>
      <c r="K3" s="11">
        <v>45657.0</v>
      </c>
      <c r="L3" s="13">
        <v>46317.0</v>
      </c>
      <c r="M3" s="14">
        <v>300000.0</v>
      </c>
      <c r="N3" s="14">
        <v>300000.0</v>
      </c>
      <c r="O3" s="14">
        <v>300000.0</v>
      </c>
      <c r="P3" s="9" t="s">
        <v>45</v>
      </c>
      <c r="Q3" s="14">
        <v>300000.0</v>
      </c>
      <c r="R3" s="9" t="s">
        <v>45</v>
      </c>
      <c r="S3" s="9" t="s">
        <v>46</v>
      </c>
      <c r="T3" s="9" t="s">
        <v>47</v>
      </c>
      <c r="U3" s="17" t="s">
        <v>48</v>
      </c>
      <c r="V3" s="17" t="s">
        <v>49</v>
      </c>
      <c r="W3" s="13">
        <v>45833.0</v>
      </c>
    </row>
    <row r="4">
      <c r="A4" s="8">
        <v>2025.0</v>
      </c>
      <c r="B4" s="9" t="s">
        <v>50</v>
      </c>
      <c r="C4" s="8" t="s">
        <v>51</v>
      </c>
      <c r="D4" s="8" t="s">
        <v>52</v>
      </c>
      <c r="E4" s="8" t="s">
        <v>53</v>
      </c>
      <c r="F4" s="8" t="s">
        <v>54</v>
      </c>
      <c r="G4" s="10" t="s">
        <v>55</v>
      </c>
      <c r="H4" s="8" t="s">
        <v>56</v>
      </c>
      <c r="I4" s="8">
        <v>5.400020250016E12</v>
      </c>
      <c r="J4" s="9" t="s">
        <v>57</v>
      </c>
      <c r="K4" s="11">
        <v>46022.0</v>
      </c>
      <c r="L4" s="13">
        <v>46538.0</v>
      </c>
      <c r="M4" s="14">
        <v>5000000.0</v>
      </c>
      <c r="N4" s="14">
        <v>5000000.0</v>
      </c>
      <c r="O4" s="14">
        <v>5000000.0</v>
      </c>
      <c r="P4" s="9" t="s">
        <v>45</v>
      </c>
      <c r="Q4" s="14">
        <v>5000000.0</v>
      </c>
      <c r="R4" s="9" t="s">
        <v>45</v>
      </c>
      <c r="S4" s="9" t="s">
        <v>45</v>
      </c>
      <c r="T4" s="21"/>
      <c r="U4" s="17" t="s">
        <v>65</v>
      </c>
      <c r="V4" s="17" t="s">
        <v>66</v>
      </c>
      <c r="W4" s="13">
        <v>46163.0</v>
      </c>
    </row>
    <row r="5">
      <c r="A5" s="8">
        <v>2025.0</v>
      </c>
      <c r="B5" s="9" t="s">
        <v>67</v>
      </c>
      <c r="C5" s="8" t="s">
        <v>68</v>
      </c>
      <c r="D5" s="8" t="s">
        <v>69</v>
      </c>
      <c r="E5" s="8" t="s">
        <v>70</v>
      </c>
      <c r="F5" s="8" t="s">
        <v>71</v>
      </c>
      <c r="G5" s="10" t="s">
        <v>72</v>
      </c>
      <c r="H5" s="8" t="s">
        <v>56</v>
      </c>
      <c r="I5" s="8">
        <v>5.400020250016E12</v>
      </c>
      <c r="J5" s="9" t="s">
        <v>73</v>
      </c>
      <c r="K5" s="11">
        <v>46022.0</v>
      </c>
      <c r="L5" s="13">
        <v>46511.0</v>
      </c>
      <c r="M5" s="14">
        <v>330000.0</v>
      </c>
      <c r="N5" s="14">
        <v>330000.0</v>
      </c>
      <c r="O5" s="14">
        <v>330000.0</v>
      </c>
      <c r="P5" s="9" t="s">
        <v>45</v>
      </c>
      <c r="Q5" s="14">
        <v>330000.0</v>
      </c>
      <c r="R5" s="9" t="s">
        <v>45</v>
      </c>
      <c r="S5" s="9" t="s">
        <v>45</v>
      </c>
      <c r="T5" s="21"/>
      <c r="U5" s="17" t="s">
        <v>76</v>
      </c>
      <c r="V5" s="17" t="s">
        <v>77</v>
      </c>
      <c r="W5" s="13">
        <v>46163.0</v>
      </c>
    </row>
    <row r="6">
      <c r="A6" s="8">
        <v>2025.0</v>
      </c>
      <c r="B6" s="9" t="s">
        <v>78</v>
      </c>
      <c r="C6" s="8" t="s">
        <v>80</v>
      </c>
      <c r="D6" s="8" t="s">
        <v>81</v>
      </c>
      <c r="E6" s="8" t="s">
        <v>83</v>
      </c>
      <c r="F6" s="8" t="s">
        <v>84</v>
      </c>
      <c r="G6" s="10" t="s">
        <v>86</v>
      </c>
      <c r="H6" s="8" t="s">
        <v>56</v>
      </c>
      <c r="I6" s="8">
        <v>5.400020250016E12</v>
      </c>
      <c r="J6" s="9" t="s">
        <v>88</v>
      </c>
      <c r="K6" s="11">
        <v>46022.0</v>
      </c>
      <c r="L6" s="13">
        <v>46392.0</v>
      </c>
      <c r="M6" s="14">
        <v>4000000.0</v>
      </c>
      <c r="N6" s="14">
        <v>4000000.0</v>
      </c>
      <c r="O6" s="14">
        <v>4000000.0</v>
      </c>
      <c r="P6" s="9" t="s">
        <v>45</v>
      </c>
      <c r="Q6" s="14">
        <v>4000000.0</v>
      </c>
      <c r="R6" s="9" t="s">
        <v>45</v>
      </c>
      <c r="S6" s="9" t="s">
        <v>45</v>
      </c>
      <c r="T6" s="9"/>
      <c r="U6" s="17" t="s">
        <v>92</v>
      </c>
      <c r="V6" s="17" t="s">
        <v>93</v>
      </c>
      <c r="W6" s="13">
        <v>46163.0</v>
      </c>
    </row>
    <row r="7">
      <c r="A7" s="8">
        <v>2025.0</v>
      </c>
      <c r="B7" s="9" t="s">
        <v>94</v>
      </c>
      <c r="C7" s="8" t="s">
        <v>68</v>
      </c>
      <c r="D7" s="8" t="s">
        <v>95</v>
      </c>
      <c r="E7" s="8" t="s">
        <v>96</v>
      </c>
      <c r="F7" s="8" t="s">
        <v>97</v>
      </c>
      <c r="G7" s="10" t="s">
        <v>98</v>
      </c>
      <c r="H7" s="8" t="s">
        <v>56</v>
      </c>
      <c r="I7" s="8">
        <v>5.400020250016E12</v>
      </c>
      <c r="J7" s="9" t="s">
        <v>73</v>
      </c>
      <c r="K7" s="11">
        <v>46021.0</v>
      </c>
      <c r="L7" s="13">
        <v>46511.0</v>
      </c>
      <c r="M7" s="14">
        <v>500000.0</v>
      </c>
      <c r="N7" s="14">
        <v>500000.0</v>
      </c>
      <c r="O7" s="14">
        <v>500000.0</v>
      </c>
      <c r="P7" s="9" t="s">
        <v>45</v>
      </c>
      <c r="Q7" s="14">
        <v>500000.0</v>
      </c>
      <c r="R7" s="9" t="s">
        <v>45</v>
      </c>
      <c r="S7" s="9" t="s">
        <v>45</v>
      </c>
      <c r="T7" s="21"/>
      <c r="U7" s="17" t="s">
        <v>105</v>
      </c>
      <c r="V7" s="17" t="s">
        <v>107</v>
      </c>
      <c r="W7" s="13">
        <v>46163.0</v>
      </c>
    </row>
    <row r="8">
      <c r="A8" s="8">
        <v>2025.0</v>
      </c>
      <c r="B8" s="9" t="s">
        <v>108</v>
      </c>
      <c r="C8" s="8" t="s">
        <v>110</v>
      </c>
      <c r="D8" s="8" t="s">
        <v>112</v>
      </c>
      <c r="E8" s="8" t="s">
        <v>113</v>
      </c>
      <c r="F8" s="8" t="s">
        <v>114</v>
      </c>
      <c r="G8" s="10" t="s">
        <v>116</v>
      </c>
      <c r="H8" s="8" t="s">
        <v>56</v>
      </c>
      <c r="I8" s="8">
        <v>5.400020250016E12</v>
      </c>
      <c r="J8" s="9" t="s">
        <v>117</v>
      </c>
      <c r="K8" s="11">
        <v>46022.0</v>
      </c>
      <c r="L8" s="13">
        <v>46482.0</v>
      </c>
      <c r="M8" s="14">
        <v>450000.0</v>
      </c>
      <c r="N8" s="14">
        <v>450000.0</v>
      </c>
      <c r="O8" s="14">
        <v>450000.0</v>
      </c>
      <c r="P8" s="21" t="s">
        <v>46</v>
      </c>
      <c r="Q8" s="23"/>
      <c r="R8" s="9" t="s">
        <v>45</v>
      </c>
      <c r="S8" s="9" t="s">
        <v>45</v>
      </c>
      <c r="T8" s="9"/>
      <c r="U8" s="17" t="s">
        <v>121</v>
      </c>
      <c r="V8" s="8" t="s">
        <v>122</v>
      </c>
      <c r="W8" s="13"/>
    </row>
    <row r="9">
      <c r="A9" s="8">
        <v>2025.0</v>
      </c>
      <c r="B9" s="9" t="s">
        <v>124</v>
      </c>
      <c r="C9" s="8" t="s">
        <v>80</v>
      </c>
      <c r="D9" s="8" t="s">
        <v>127</v>
      </c>
      <c r="E9" s="8" t="s">
        <v>129</v>
      </c>
      <c r="F9" s="8" t="s">
        <v>130</v>
      </c>
      <c r="G9" s="10" t="s">
        <v>132</v>
      </c>
      <c r="H9" s="8" t="s">
        <v>56</v>
      </c>
      <c r="I9" s="8">
        <v>5.400020250016E12</v>
      </c>
      <c r="J9" s="9" t="s">
        <v>133</v>
      </c>
      <c r="K9" s="11">
        <v>46021.0</v>
      </c>
      <c r="L9" s="11">
        <v>46356.0</v>
      </c>
      <c r="M9" s="14">
        <v>450000.0</v>
      </c>
      <c r="N9" s="14">
        <v>450000.0</v>
      </c>
      <c r="O9" s="14">
        <v>450000.0</v>
      </c>
      <c r="P9" s="9" t="s">
        <v>45</v>
      </c>
      <c r="Q9" s="14">
        <v>450000.0</v>
      </c>
      <c r="R9" s="9" t="s">
        <v>45</v>
      </c>
      <c r="S9" s="9" t="s">
        <v>45</v>
      </c>
      <c r="T9" s="9"/>
      <c r="U9" s="17" t="s">
        <v>135</v>
      </c>
      <c r="V9" s="17" t="s">
        <v>136</v>
      </c>
      <c r="W9" s="13">
        <v>46163.0</v>
      </c>
    </row>
    <row r="10">
      <c r="A10" s="8">
        <v>2025.0</v>
      </c>
      <c r="B10" s="9" t="s">
        <v>137</v>
      </c>
      <c r="C10" s="8" t="s">
        <v>80</v>
      </c>
      <c r="D10" s="8" t="s">
        <v>138</v>
      </c>
      <c r="E10" s="8" t="s">
        <v>139</v>
      </c>
      <c r="F10" s="8" t="s">
        <v>140</v>
      </c>
      <c r="G10" s="10" t="s">
        <v>141</v>
      </c>
      <c r="H10" s="8" t="s">
        <v>56</v>
      </c>
      <c r="I10" s="8">
        <v>5.400020250016E12</v>
      </c>
      <c r="J10" s="9" t="s">
        <v>144</v>
      </c>
      <c r="K10" s="11">
        <v>46021.0</v>
      </c>
      <c r="L10" s="13">
        <v>46296.0</v>
      </c>
      <c r="M10" s="14">
        <v>400000.0</v>
      </c>
      <c r="N10" s="14">
        <v>400000.0</v>
      </c>
      <c r="O10" s="14">
        <v>400000.0</v>
      </c>
      <c r="P10" s="9" t="s">
        <v>45</v>
      </c>
      <c r="Q10" s="14">
        <v>400000.0</v>
      </c>
      <c r="R10" s="9" t="s">
        <v>45</v>
      </c>
      <c r="S10" s="9" t="s">
        <v>45</v>
      </c>
      <c r="T10" s="21"/>
      <c r="U10" s="17" t="s">
        <v>152</v>
      </c>
      <c r="V10" s="17" t="s">
        <v>154</v>
      </c>
      <c r="W10" s="13">
        <v>46163.0</v>
      </c>
    </row>
    <row r="11">
      <c r="A11" s="26">
        <v>2026.0</v>
      </c>
      <c r="B11" s="27" t="s">
        <v>155</v>
      </c>
      <c r="C11" s="26" t="s">
        <v>80</v>
      </c>
      <c r="D11" s="28"/>
      <c r="E11" s="26" t="s">
        <v>160</v>
      </c>
      <c r="F11" s="26" t="s">
        <v>162</v>
      </c>
      <c r="G11" s="29" t="s">
        <v>166</v>
      </c>
      <c r="H11" s="26" t="s">
        <v>56</v>
      </c>
      <c r="I11" s="26">
        <v>5.400020260023E12</v>
      </c>
      <c r="J11" s="27" t="s">
        <v>167</v>
      </c>
      <c r="K11" s="30">
        <v>46178.0</v>
      </c>
      <c r="L11" s="30">
        <v>46542.0</v>
      </c>
      <c r="M11" s="31">
        <v>2500000.0</v>
      </c>
      <c r="N11" s="31">
        <v>2500000.0</v>
      </c>
      <c r="O11" s="31"/>
      <c r="P11" s="33" t="s">
        <v>46</v>
      </c>
      <c r="Q11" s="34"/>
      <c r="R11" s="27" t="s">
        <v>46</v>
      </c>
      <c r="S11" s="27" t="s">
        <v>46</v>
      </c>
      <c r="T11" s="27" t="s">
        <v>176</v>
      </c>
      <c r="U11" s="17" t="s">
        <v>177</v>
      </c>
      <c r="V11" s="17" t="s">
        <v>178</v>
      </c>
      <c r="W11" s="13"/>
    </row>
    <row r="12">
      <c r="A12" s="8">
        <v>2026.0</v>
      </c>
      <c r="B12" s="9" t="s">
        <v>180</v>
      </c>
      <c r="C12" s="8" t="s">
        <v>181</v>
      </c>
      <c r="D12" s="8" t="s">
        <v>182</v>
      </c>
      <c r="E12" s="8" t="s">
        <v>183</v>
      </c>
      <c r="F12" s="8" t="s">
        <v>184</v>
      </c>
      <c r="G12" s="10" t="s">
        <v>132</v>
      </c>
      <c r="H12" s="8" t="s">
        <v>56</v>
      </c>
      <c r="I12" s="8">
        <v>5.400020260023E12</v>
      </c>
      <c r="J12" s="9" t="s">
        <v>185</v>
      </c>
      <c r="K12" s="13">
        <v>46222.0</v>
      </c>
      <c r="L12" s="13">
        <v>46586.0</v>
      </c>
      <c r="M12" s="14">
        <v>2500000.0</v>
      </c>
      <c r="N12" s="14">
        <v>2500000.0</v>
      </c>
      <c r="O12" s="14">
        <v>2500000.0</v>
      </c>
      <c r="P12" s="21" t="s">
        <v>46</v>
      </c>
      <c r="Q12" s="23"/>
      <c r="R12" s="9" t="s">
        <v>46</v>
      </c>
      <c r="S12" s="9" t="s">
        <v>46</v>
      </c>
      <c r="T12" s="9" t="s">
        <v>188</v>
      </c>
      <c r="U12" s="17" t="s">
        <v>189</v>
      </c>
      <c r="V12" s="17" t="s">
        <v>191</v>
      </c>
      <c r="W12" s="13"/>
    </row>
    <row r="13">
      <c r="A13" s="8">
        <v>2026.0</v>
      </c>
      <c r="B13" s="9" t="s">
        <v>192</v>
      </c>
      <c r="C13" s="8" t="s">
        <v>80</v>
      </c>
      <c r="D13" s="8" t="s">
        <v>194</v>
      </c>
      <c r="E13" s="8" t="s">
        <v>196</v>
      </c>
      <c r="F13" s="8" t="s">
        <v>198</v>
      </c>
      <c r="G13" s="10" t="s">
        <v>199</v>
      </c>
      <c r="H13" s="8" t="s">
        <v>39</v>
      </c>
      <c r="I13" s="8">
        <v>5.400020260009E12</v>
      </c>
      <c r="J13" s="9" t="s">
        <v>200</v>
      </c>
      <c r="K13" s="13">
        <v>46174.0</v>
      </c>
      <c r="L13" s="13">
        <v>46539.0</v>
      </c>
      <c r="M13" s="14">
        <v>250000.0</v>
      </c>
      <c r="N13" s="14">
        <v>250000.0</v>
      </c>
      <c r="O13" s="14">
        <v>250000.0</v>
      </c>
      <c r="P13" s="21" t="s">
        <v>46</v>
      </c>
      <c r="Q13" s="23"/>
      <c r="R13" s="9" t="s">
        <v>46</v>
      </c>
      <c r="S13" s="9" t="s">
        <v>46</v>
      </c>
      <c r="T13" s="9" t="s">
        <v>202</v>
      </c>
      <c r="U13" s="17" t="s">
        <v>203</v>
      </c>
      <c r="V13" s="17" t="s">
        <v>204</v>
      </c>
      <c r="W13" s="13"/>
    </row>
    <row r="14">
      <c r="A14" s="8">
        <v>2026.0</v>
      </c>
      <c r="B14" s="9" t="s">
        <v>205</v>
      </c>
      <c r="C14" s="8" t="s">
        <v>80</v>
      </c>
      <c r="D14" s="8" t="s">
        <v>207</v>
      </c>
      <c r="E14" s="8" t="s">
        <v>209</v>
      </c>
      <c r="F14" s="8" t="s">
        <v>210</v>
      </c>
      <c r="G14" s="10" t="s">
        <v>132</v>
      </c>
      <c r="H14" s="8" t="s">
        <v>39</v>
      </c>
      <c r="I14" s="8">
        <v>5.400020260009E12</v>
      </c>
      <c r="J14" s="9" t="s">
        <v>133</v>
      </c>
      <c r="K14" s="13">
        <v>46357.0</v>
      </c>
      <c r="L14" s="13">
        <v>46660.0</v>
      </c>
      <c r="M14" s="14">
        <v>500000.0</v>
      </c>
      <c r="N14" s="14">
        <v>500000.0</v>
      </c>
      <c r="O14" s="14"/>
      <c r="P14" s="21" t="s">
        <v>46</v>
      </c>
      <c r="Q14" s="23"/>
      <c r="R14" s="9" t="s">
        <v>46</v>
      </c>
      <c r="S14" s="9" t="s">
        <v>46</v>
      </c>
      <c r="T14" s="9" t="s">
        <v>217</v>
      </c>
      <c r="U14" s="17" t="s">
        <v>135</v>
      </c>
      <c r="V14" s="17" t="s">
        <v>136</v>
      </c>
      <c r="W14" s="13"/>
    </row>
    <row r="15">
      <c r="I15" s="36"/>
    </row>
    <row r="16">
      <c r="I16" s="36"/>
    </row>
    <row r="17">
      <c r="I17" s="36"/>
    </row>
    <row r="18">
      <c r="I18" s="36"/>
    </row>
    <row r="19">
      <c r="I19" s="36"/>
    </row>
    <row r="20">
      <c r="I20" s="36"/>
    </row>
    <row r="21">
      <c r="I21" s="36"/>
    </row>
    <row r="22">
      <c r="I22" s="36"/>
    </row>
    <row r="23">
      <c r="I23" s="36"/>
    </row>
    <row r="24">
      <c r="I24" s="36"/>
    </row>
    <row r="25">
      <c r="I25" s="36"/>
    </row>
    <row r="26">
      <c r="I26" s="36"/>
    </row>
    <row r="27">
      <c r="I27" s="36"/>
    </row>
    <row r="28">
      <c r="I28" s="36"/>
    </row>
    <row r="29">
      <c r="I29" s="36"/>
    </row>
    <row r="30">
      <c r="I30" s="36"/>
    </row>
    <row r="31">
      <c r="I31" s="36"/>
    </row>
    <row r="32">
      <c r="I32" s="36"/>
    </row>
    <row r="33">
      <c r="I33" s="36"/>
    </row>
    <row r="34">
      <c r="I34" s="36"/>
    </row>
    <row r="35">
      <c r="I35" s="36"/>
    </row>
    <row r="36">
      <c r="I36" s="36"/>
    </row>
    <row r="37">
      <c r="I37" s="36"/>
    </row>
    <row r="38">
      <c r="I38" s="36"/>
    </row>
    <row r="39">
      <c r="I39" s="36"/>
    </row>
    <row r="40">
      <c r="I40" s="36"/>
    </row>
    <row r="41">
      <c r="I41" s="36"/>
    </row>
    <row r="42">
      <c r="I42" s="36"/>
    </row>
    <row r="43">
      <c r="I43" s="36"/>
    </row>
    <row r="44">
      <c r="I44" s="36"/>
    </row>
    <row r="45">
      <c r="I45" s="36"/>
    </row>
    <row r="46">
      <c r="I46" s="36"/>
    </row>
    <row r="47">
      <c r="I47" s="36"/>
    </row>
    <row r="48">
      <c r="I48" s="36"/>
    </row>
    <row r="49">
      <c r="I49" s="36"/>
    </row>
    <row r="50">
      <c r="I50" s="36"/>
    </row>
    <row r="51">
      <c r="I51" s="36"/>
    </row>
    <row r="52">
      <c r="I52" s="36"/>
    </row>
    <row r="53">
      <c r="I53" s="36"/>
    </row>
    <row r="54">
      <c r="I54" s="36"/>
    </row>
    <row r="55">
      <c r="I55" s="36"/>
    </row>
    <row r="56">
      <c r="I56" s="36"/>
    </row>
    <row r="57">
      <c r="I57" s="36"/>
    </row>
    <row r="58">
      <c r="I58" s="36"/>
    </row>
    <row r="59">
      <c r="I59" s="36"/>
    </row>
    <row r="60">
      <c r="I60" s="36"/>
    </row>
    <row r="61">
      <c r="I61" s="36"/>
    </row>
    <row r="62">
      <c r="I62" s="36"/>
    </row>
    <row r="63">
      <c r="I63" s="36"/>
    </row>
    <row r="64">
      <c r="I64" s="36"/>
    </row>
    <row r="65">
      <c r="I65" s="36"/>
    </row>
    <row r="66">
      <c r="I66" s="36"/>
    </row>
    <row r="67">
      <c r="I67" s="36"/>
    </row>
    <row r="68">
      <c r="I68" s="36"/>
    </row>
    <row r="69">
      <c r="I69" s="36"/>
    </row>
    <row r="70">
      <c r="I70" s="36"/>
    </row>
    <row r="71">
      <c r="I71" s="36"/>
    </row>
    <row r="72">
      <c r="I72" s="36"/>
    </row>
    <row r="73">
      <c r="I73" s="36"/>
    </row>
    <row r="74">
      <c r="I74" s="36"/>
    </row>
    <row r="75">
      <c r="I75" s="36"/>
    </row>
    <row r="76">
      <c r="I76" s="36"/>
    </row>
    <row r="77">
      <c r="I77" s="36"/>
    </row>
    <row r="78">
      <c r="I78" s="36"/>
    </row>
    <row r="79">
      <c r="I79" s="36"/>
    </row>
    <row r="80">
      <c r="I80" s="36"/>
    </row>
    <row r="81">
      <c r="I81" s="36"/>
    </row>
    <row r="82">
      <c r="I82" s="36"/>
    </row>
    <row r="83">
      <c r="I83" s="36"/>
    </row>
    <row r="84">
      <c r="I84" s="36"/>
    </row>
    <row r="85">
      <c r="I85" s="36"/>
    </row>
    <row r="86">
      <c r="I86" s="36"/>
    </row>
    <row r="87">
      <c r="I87" s="36"/>
    </row>
    <row r="88">
      <c r="I88" s="36"/>
    </row>
    <row r="89">
      <c r="I89" s="36"/>
    </row>
    <row r="90">
      <c r="I90" s="36"/>
    </row>
    <row r="91">
      <c r="I91" s="36"/>
    </row>
    <row r="92">
      <c r="I92" s="36"/>
    </row>
    <row r="93">
      <c r="I93" s="36"/>
    </row>
    <row r="94">
      <c r="I94" s="36"/>
    </row>
    <row r="95">
      <c r="I95" s="36"/>
    </row>
    <row r="96">
      <c r="I96" s="36"/>
    </row>
    <row r="97">
      <c r="I97" s="36"/>
    </row>
    <row r="98">
      <c r="I98" s="36"/>
    </row>
    <row r="99">
      <c r="I99" s="36"/>
    </row>
    <row r="100">
      <c r="I100" s="36"/>
    </row>
    <row r="101">
      <c r="I101" s="36"/>
    </row>
    <row r="102">
      <c r="I102" s="36"/>
    </row>
    <row r="103">
      <c r="I103" s="36"/>
    </row>
    <row r="104">
      <c r="I104" s="36"/>
    </row>
    <row r="105">
      <c r="I105" s="36"/>
    </row>
    <row r="106">
      <c r="I106" s="36"/>
    </row>
    <row r="107">
      <c r="I107" s="36"/>
    </row>
    <row r="108">
      <c r="I108" s="36"/>
    </row>
    <row r="109">
      <c r="I109" s="36"/>
    </row>
    <row r="110">
      <c r="I110" s="36"/>
    </row>
    <row r="111">
      <c r="I111" s="36"/>
    </row>
    <row r="112">
      <c r="I112" s="36"/>
    </row>
    <row r="113">
      <c r="I113" s="36"/>
    </row>
    <row r="114">
      <c r="I114" s="36"/>
    </row>
    <row r="115">
      <c r="I115" s="36"/>
    </row>
    <row r="116">
      <c r="I116" s="36"/>
    </row>
    <row r="117">
      <c r="I117" s="36"/>
    </row>
    <row r="118">
      <c r="I118" s="36"/>
    </row>
    <row r="119">
      <c r="I119" s="36"/>
    </row>
    <row r="120">
      <c r="I120" s="36"/>
    </row>
    <row r="121">
      <c r="I121" s="36"/>
    </row>
    <row r="122">
      <c r="I122" s="36"/>
    </row>
    <row r="123">
      <c r="I123" s="36"/>
    </row>
    <row r="124">
      <c r="I124" s="36"/>
    </row>
    <row r="125">
      <c r="I125" s="36"/>
    </row>
    <row r="126">
      <c r="I126" s="36"/>
    </row>
    <row r="127">
      <c r="I127" s="36"/>
    </row>
    <row r="128">
      <c r="I128" s="36"/>
    </row>
    <row r="129">
      <c r="I129" s="36"/>
    </row>
    <row r="130">
      <c r="I130" s="36"/>
    </row>
    <row r="131">
      <c r="I131" s="36"/>
    </row>
    <row r="132">
      <c r="I132" s="36"/>
    </row>
    <row r="133">
      <c r="I133" s="36"/>
    </row>
    <row r="134">
      <c r="I134" s="36"/>
    </row>
    <row r="135">
      <c r="I135" s="36"/>
    </row>
    <row r="136">
      <c r="I136" s="36"/>
    </row>
    <row r="137">
      <c r="I137" s="36"/>
    </row>
    <row r="138">
      <c r="I138" s="36"/>
    </row>
    <row r="139">
      <c r="I139" s="36"/>
    </row>
    <row r="140">
      <c r="I140" s="36"/>
    </row>
    <row r="141">
      <c r="I141" s="36"/>
    </row>
    <row r="142">
      <c r="I142" s="36"/>
    </row>
    <row r="143">
      <c r="I143" s="36"/>
    </row>
    <row r="144">
      <c r="I144" s="36"/>
    </row>
    <row r="145">
      <c r="I145" s="36"/>
    </row>
    <row r="146">
      <c r="I146" s="36"/>
    </row>
    <row r="147">
      <c r="I147" s="36"/>
    </row>
    <row r="148">
      <c r="I148" s="36"/>
    </row>
    <row r="149">
      <c r="I149" s="36"/>
    </row>
    <row r="150">
      <c r="I150" s="36"/>
    </row>
    <row r="151">
      <c r="I151" s="36"/>
    </row>
    <row r="152">
      <c r="I152" s="36"/>
    </row>
    <row r="153">
      <c r="I153" s="36"/>
    </row>
    <row r="154">
      <c r="I154" s="36"/>
    </row>
    <row r="155">
      <c r="I155" s="36"/>
    </row>
    <row r="156">
      <c r="I156" s="36"/>
    </row>
    <row r="157">
      <c r="I157" s="36"/>
    </row>
    <row r="158">
      <c r="I158" s="36"/>
    </row>
    <row r="159">
      <c r="I159" s="36"/>
    </row>
    <row r="160">
      <c r="I160" s="36"/>
    </row>
    <row r="161">
      <c r="I161" s="36"/>
    </row>
    <row r="162">
      <c r="I162" s="36"/>
    </row>
    <row r="163">
      <c r="I163" s="36"/>
    </row>
    <row r="164">
      <c r="I164" s="36"/>
    </row>
    <row r="165">
      <c r="I165" s="36"/>
    </row>
    <row r="166">
      <c r="I166" s="36"/>
    </row>
    <row r="167">
      <c r="I167" s="36"/>
    </row>
    <row r="168">
      <c r="I168" s="36"/>
    </row>
    <row r="169">
      <c r="I169" s="36"/>
    </row>
    <row r="170">
      <c r="I170" s="36"/>
    </row>
    <row r="171">
      <c r="I171" s="36"/>
    </row>
    <row r="172">
      <c r="I172" s="36"/>
    </row>
    <row r="173">
      <c r="I173" s="36"/>
    </row>
    <row r="174">
      <c r="I174" s="36"/>
    </row>
    <row r="175">
      <c r="I175" s="36"/>
    </row>
    <row r="176">
      <c r="I176" s="36"/>
    </row>
    <row r="177">
      <c r="I177" s="36"/>
    </row>
    <row r="178">
      <c r="I178" s="36"/>
    </row>
    <row r="179">
      <c r="I179" s="36"/>
    </row>
    <row r="180">
      <c r="I180" s="36"/>
    </row>
    <row r="181">
      <c r="I181" s="36"/>
    </row>
    <row r="182">
      <c r="I182" s="36"/>
    </row>
    <row r="183">
      <c r="I183" s="36"/>
    </row>
    <row r="184">
      <c r="I184" s="36"/>
    </row>
    <row r="185">
      <c r="I185" s="36"/>
    </row>
    <row r="186">
      <c r="I186" s="36"/>
    </row>
    <row r="187">
      <c r="I187" s="36"/>
    </row>
    <row r="188">
      <c r="I188" s="36"/>
    </row>
    <row r="189">
      <c r="I189" s="36"/>
    </row>
    <row r="190">
      <c r="I190" s="36"/>
    </row>
    <row r="191">
      <c r="I191" s="36"/>
    </row>
    <row r="192">
      <c r="I192" s="36"/>
    </row>
    <row r="193">
      <c r="I193" s="36"/>
    </row>
    <row r="194">
      <c r="I194" s="36"/>
    </row>
    <row r="195">
      <c r="I195" s="36"/>
    </row>
    <row r="196">
      <c r="I196" s="36"/>
    </row>
    <row r="197">
      <c r="I197" s="36"/>
    </row>
    <row r="198">
      <c r="I198" s="36"/>
    </row>
    <row r="199">
      <c r="I199" s="36"/>
    </row>
    <row r="200">
      <c r="I200" s="36"/>
    </row>
    <row r="201">
      <c r="I201" s="36"/>
    </row>
    <row r="202">
      <c r="I202" s="36"/>
    </row>
    <row r="203">
      <c r="I203" s="36"/>
    </row>
    <row r="204">
      <c r="I204" s="36"/>
    </row>
    <row r="205">
      <c r="I205" s="36"/>
    </row>
    <row r="206">
      <c r="I206" s="36"/>
    </row>
    <row r="207">
      <c r="I207" s="36"/>
    </row>
    <row r="208">
      <c r="I208" s="36"/>
    </row>
    <row r="209">
      <c r="I209" s="36"/>
    </row>
    <row r="210">
      <c r="I210" s="36"/>
    </row>
    <row r="211">
      <c r="I211" s="36"/>
    </row>
    <row r="212">
      <c r="I212" s="36"/>
    </row>
    <row r="213">
      <c r="I213" s="36"/>
    </row>
    <row r="214">
      <c r="I214" s="36"/>
    </row>
    <row r="215">
      <c r="I215" s="36"/>
    </row>
    <row r="216">
      <c r="I216" s="36"/>
    </row>
    <row r="217">
      <c r="I217" s="36"/>
    </row>
    <row r="218">
      <c r="I218" s="36"/>
    </row>
    <row r="219">
      <c r="I219" s="36"/>
    </row>
    <row r="220">
      <c r="I220" s="36"/>
    </row>
    <row r="221">
      <c r="I221" s="36"/>
    </row>
    <row r="222">
      <c r="I222" s="36"/>
    </row>
    <row r="223">
      <c r="I223" s="36"/>
    </row>
    <row r="224">
      <c r="I224" s="36"/>
    </row>
    <row r="225">
      <c r="I225" s="36"/>
    </row>
    <row r="226">
      <c r="I226" s="36"/>
    </row>
    <row r="227">
      <c r="I227" s="36"/>
    </row>
    <row r="228">
      <c r="I228" s="36"/>
    </row>
    <row r="229">
      <c r="I229" s="36"/>
    </row>
    <row r="230">
      <c r="I230" s="36"/>
    </row>
    <row r="231">
      <c r="I231" s="36"/>
    </row>
    <row r="232">
      <c r="I232" s="36"/>
    </row>
    <row r="233">
      <c r="I233" s="36"/>
    </row>
    <row r="234">
      <c r="I234" s="36"/>
    </row>
    <row r="235">
      <c r="I235" s="36"/>
    </row>
    <row r="236">
      <c r="I236" s="36"/>
    </row>
    <row r="237">
      <c r="I237" s="36"/>
    </row>
    <row r="238">
      <c r="I238" s="36"/>
    </row>
    <row r="239">
      <c r="I239" s="36"/>
    </row>
    <row r="240">
      <c r="I240" s="36"/>
    </row>
    <row r="241">
      <c r="I241" s="36"/>
    </row>
    <row r="242">
      <c r="I242" s="36"/>
    </row>
    <row r="243">
      <c r="I243" s="36"/>
    </row>
    <row r="244">
      <c r="I244" s="36"/>
    </row>
    <row r="245">
      <c r="I245" s="36"/>
    </row>
    <row r="246">
      <c r="I246" s="36"/>
    </row>
    <row r="247">
      <c r="I247" s="36"/>
    </row>
    <row r="248">
      <c r="I248" s="36"/>
    </row>
    <row r="249">
      <c r="I249" s="36"/>
    </row>
    <row r="250">
      <c r="I250" s="36"/>
    </row>
    <row r="251">
      <c r="I251" s="36"/>
    </row>
    <row r="252">
      <c r="I252" s="36"/>
    </row>
    <row r="253">
      <c r="I253" s="36"/>
    </row>
    <row r="254">
      <c r="I254" s="36"/>
    </row>
    <row r="255">
      <c r="I255" s="36"/>
    </row>
    <row r="256">
      <c r="I256" s="36"/>
    </row>
    <row r="257">
      <c r="I257" s="36"/>
    </row>
    <row r="258">
      <c r="I258" s="36"/>
    </row>
    <row r="259">
      <c r="I259" s="36"/>
    </row>
    <row r="260">
      <c r="I260" s="36"/>
    </row>
    <row r="261">
      <c r="I261" s="36"/>
    </row>
    <row r="262">
      <c r="I262" s="36"/>
    </row>
    <row r="263">
      <c r="I263" s="36"/>
    </row>
    <row r="264">
      <c r="I264" s="36"/>
    </row>
    <row r="265">
      <c r="I265" s="36"/>
    </row>
    <row r="266">
      <c r="I266" s="36"/>
    </row>
    <row r="267">
      <c r="I267" s="36"/>
    </row>
    <row r="268">
      <c r="I268" s="36"/>
    </row>
    <row r="269">
      <c r="I269" s="36"/>
    </row>
    <row r="270">
      <c r="I270" s="36"/>
    </row>
    <row r="271">
      <c r="I271" s="36"/>
    </row>
    <row r="272">
      <c r="I272" s="36"/>
    </row>
    <row r="273">
      <c r="I273" s="36"/>
    </row>
    <row r="274">
      <c r="I274" s="36"/>
    </row>
    <row r="275">
      <c r="I275" s="36"/>
    </row>
    <row r="276">
      <c r="I276" s="36"/>
    </row>
    <row r="277">
      <c r="I277" s="36"/>
    </row>
    <row r="278">
      <c r="I278" s="36"/>
    </row>
    <row r="279">
      <c r="I279" s="36"/>
    </row>
    <row r="280">
      <c r="I280" s="36"/>
    </row>
    <row r="281">
      <c r="I281" s="36"/>
    </row>
    <row r="282">
      <c r="I282" s="36"/>
    </row>
    <row r="283">
      <c r="I283" s="36"/>
    </row>
    <row r="284">
      <c r="I284" s="36"/>
    </row>
    <row r="285">
      <c r="I285" s="36"/>
    </row>
    <row r="286">
      <c r="I286" s="36"/>
    </row>
    <row r="287">
      <c r="I287" s="36"/>
    </row>
    <row r="288">
      <c r="I288" s="36"/>
    </row>
    <row r="289">
      <c r="I289" s="36"/>
    </row>
    <row r="290">
      <c r="I290" s="36"/>
    </row>
    <row r="291">
      <c r="I291" s="36"/>
    </row>
    <row r="292">
      <c r="I292" s="36"/>
    </row>
    <row r="293">
      <c r="I293" s="36"/>
    </row>
    <row r="294">
      <c r="I294" s="36"/>
    </row>
    <row r="295">
      <c r="I295" s="36"/>
    </row>
    <row r="296">
      <c r="I296" s="36"/>
    </row>
    <row r="297">
      <c r="I297" s="36"/>
    </row>
    <row r="298">
      <c r="I298" s="36"/>
    </row>
    <row r="299">
      <c r="I299" s="36"/>
    </row>
    <row r="300">
      <c r="I300" s="36"/>
    </row>
    <row r="301">
      <c r="I301" s="36"/>
    </row>
    <row r="302">
      <c r="I302" s="36"/>
    </row>
    <row r="303">
      <c r="I303" s="36"/>
    </row>
    <row r="304">
      <c r="I304" s="36"/>
    </row>
    <row r="305">
      <c r="I305" s="36"/>
    </row>
    <row r="306">
      <c r="I306" s="36"/>
    </row>
    <row r="307">
      <c r="I307" s="36"/>
    </row>
    <row r="308">
      <c r="I308" s="36"/>
    </row>
    <row r="309">
      <c r="I309" s="36"/>
    </row>
    <row r="310">
      <c r="I310" s="36"/>
    </row>
    <row r="311">
      <c r="I311" s="36"/>
    </row>
    <row r="312">
      <c r="I312" s="36"/>
    </row>
    <row r="313">
      <c r="I313" s="36"/>
    </row>
    <row r="314">
      <c r="I314" s="36"/>
    </row>
    <row r="315">
      <c r="I315" s="36"/>
    </row>
    <row r="316">
      <c r="I316" s="36"/>
    </row>
    <row r="317">
      <c r="I317" s="36"/>
    </row>
    <row r="318">
      <c r="I318" s="36"/>
    </row>
    <row r="319">
      <c r="I319" s="36"/>
    </row>
    <row r="320">
      <c r="I320" s="36"/>
    </row>
    <row r="321">
      <c r="I321" s="36"/>
    </row>
    <row r="322">
      <c r="I322" s="36"/>
    </row>
    <row r="323">
      <c r="I323" s="36"/>
    </row>
    <row r="324">
      <c r="I324" s="36"/>
    </row>
    <row r="325">
      <c r="I325" s="36"/>
    </row>
    <row r="326">
      <c r="I326" s="36"/>
    </row>
    <row r="327">
      <c r="I327" s="36"/>
    </row>
    <row r="328">
      <c r="I328" s="36"/>
    </row>
    <row r="329">
      <c r="I329" s="36"/>
    </row>
    <row r="330">
      <c r="I330" s="36"/>
    </row>
    <row r="331">
      <c r="I331" s="36"/>
    </row>
    <row r="332">
      <c r="I332" s="36"/>
    </row>
    <row r="333">
      <c r="I333" s="36"/>
    </row>
    <row r="334">
      <c r="I334" s="36"/>
    </row>
    <row r="335">
      <c r="I335" s="36"/>
    </row>
    <row r="336">
      <c r="I336" s="36"/>
    </row>
    <row r="337">
      <c r="I337" s="36"/>
    </row>
    <row r="338">
      <c r="I338" s="36"/>
    </row>
    <row r="339">
      <c r="I339" s="36"/>
    </row>
    <row r="340">
      <c r="I340" s="36"/>
    </row>
    <row r="341">
      <c r="I341" s="36"/>
    </row>
    <row r="342">
      <c r="I342" s="36"/>
    </row>
    <row r="343">
      <c r="I343" s="36"/>
    </row>
    <row r="344">
      <c r="I344" s="36"/>
    </row>
    <row r="345">
      <c r="I345" s="36"/>
    </row>
    <row r="346">
      <c r="I346" s="36"/>
    </row>
    <row r="347">
      <c r="I347" s="36"/>
    </row>
    <row r="348">
      <c r="I348" s="36"/>
    </row>
    <row r="349">
      <c r="I349" s="36"/>
    </row>
    <row r="350">
      <c r="I350" s="36"/>
    </row>
    <row r="351">
      <c r="I351" s="36"/>
    </row>
    <row r="352">
      <c r="I352" s="36"/>
    </row>
    <row r="353">
      <c r="I353" s="36"/>
    </row>
    <row r="354">
      <c r="I354" s="36"/>
    </row>
    <row r="355">
      <c r="I355" s="36"/>
    </row>
    <row r="356">
      <c r="I356" s="36"/>
    </row>
    <row r="357">
      <c r="I357" s="36"/>
    </row>
    <row r="358">
      <c r="I358" s="36"/>
    </row>
    <row r="359">
      <c r="I359" s="36"/>
    </row>
    <row r="360">
      <c r="I360" s="36"/>
    </row>
    <row r="361">
      <c r="I361" s="36"/>
    </row>
    <row r="362">
      <c r="I362" s="36"/>
    </row>
    <row r="363">
      <c r="I363" s="36"/>
    </row>
    <row r="364">
      <c r="I364" s="36"/>
    </row>
    <row r="365">
      <c r="I365" s="36"/>
    </row>
    <row r="366">
      <c r="I366" s="36"/>
    </row>
    <row r="367">
      <c r="I367" s="36"/>
    </row>
    <row r="368">
      <c r="I368" s="36"/>
    </row>
    <row r="369">
      <c r="I369" s="36"/>
    </row>
    <row r="370">
      <c r="I370" s="36"/>
    </row>
    <row r="371">
      <c r="I371" s="36"/>
    </row>
    <row r="372">
      <c r="I372" s="36"/>
    </row>
    <row r="373">
      <c r="I373" s="36"/>
    </row>
    <row r="374">
      <c r="I374" s="36"/>
    </row>
    <row r="375">
      <c r="I375" s="36"/>
    </row>
    <row r="376">
      <c r="I376" s="36"/>
    </row>
    <row r="377">
      <c r="I377" s="36"/>
    </row>
    <row r="378">
      <c r="I378" s="36"/>
    </row>
    <row r="379">
      <c r="I379" s="36"/>
    </row>
    <row r="380">
      <c r="I380" s="36"/>
    </row>
    <row r="381">
      <c r="I381" s="36"/>
    </row>
    <row r="382">
      <c r="I382" s="36"/>
    </row>
    <row r="383">
      <c r="I383" s="36"/>
    </row>
    <row r="384">
      <c r="I384" s="36"/>
    </row>
    <row r="385">
      <c r="I385" s="36"/>
    </row>
    <row r="386">
      <c r="I386" s="36"/>
    </row>
    <row r="387">
      <c r="I387" s="36"/>
    </row>
    <row r="388">
      <c r="I388" s="36"/>
    </row>
    <row r="389">
      <c r="I389" s="36"/>
    </row>
    <row r="390">
      <c r="I390" s="36"/>
    </row>
    <row r="391">
      <c r="I391" s="36"/>
    </row>
    <row r="392">
      <c r="I392" s="36"/>
    </row>
    <row r="393">
      <c r="I393" s="36"/>
    </row>
    <row r="394">
      <c r="I394" s="36"/>
    </row>
    <row r="395">
      <c r="I395" s="36"/>
    </row>
    <row r="396">
      <c r="I396" s="36"/>
    </row>
    <row r="397">
      <c r="I397" s="36"/>
    </row>
    <row r="398">
      <c r="I398" s="36"/>
    </row>
    <row r="399">
      <c r="I399" s="36"/>
    </row>
    <row r="400">
      <c r="I400" s="36"/>
    </row>
    <row r="401">
      <c r="I401" s="36"/>
    </row>
    <row r="402">
      <c r="I402" s="36"/>
    </row>
    <row r="403">
      <c r="I403" s="36"/>
    </row>
    <row r="404">
      <c r="I404" s="36"/>
    </row>
    <row r="405">
      <c r="I405" s="36"/>
    </row>
    <row r="406">
      <c r="I406" s="36"/>
    </row>
    <row r="407">
      <c r="I407" s="36"/>
    </row>
    <row r="408">
      <c r="I408" s="36"/>
    </row>
    <row r="409">
      <c r="I409" s="36"/>
    </row>
    <row r="410">
      <c r="I410" s="36"/>
    </row>
    <row r="411">
      <c r="I411" s="36"/>
    </row>
    <row r="412">
      <c r="I412" s="36"/>
    </row>
    <row r="413">
      <c r="I413" s="36"/>
    </row>
    <row r="414">
      <c r="I414" s="36"/>
    </row>
    <row r="415">
      <c r="I415" s="36"/>
    </row>
    <row r="416">
      <c r="I416" s="36"/>
    </row>
    <row r="417">
      <c r="I417" s="36"/>
    </row>
    <row r="418">
      <c r="I418" s="36"/>
    </row>
    <row r="419">
      <c r="I419" s="36"/>
    </row>
    <row r="420">
      <c r="I420" s="36"/>
    </row>
    <row r="421">
      <c r="I421" s="36"/>
    </row>
    <row r="422">
      <c r="I422" s="36"/>
    </row>
    <row r="423">
      <c r="I423" s="36"/>
    </row>
    <row r="424">
      <c r="I424" s="36"/>
    </row>
    <row r="425">
      <c r="I425" s="36"/>
    </row>
    <row r="426">
      <c r="I426" s="36"/>
    </row>
    <row r="427">
      <c r="I427" s="36"/>
    </row>
    <row r="428">
      <c r="I428" s="36"/>
    </row>
    <row r="429">
      <c r="I429" s="36"/>
    </row>
    <row r="430">
      <c r="I430" s="36"/>
    </row>
    <row r="431">
      <c r="I431" s="36"/>
    </row>
    <row r="432">
      <c r="I432" s="36"/>
    </row>
    <row r="433">
      <c r="I433" s="36"/>
    </row>
    <row r="434">
      <c r="I434" s="36"/>
    </row>
    <row r="435">
      <c r="I435" s="36"/>
    </row>
    <row r="436">
      <c r="I436" s="36"/>
    </row>
    <row r="437">
      <c r="I437" s="36"/>
    </row>
    <row r="438">
      <c r="I438" s="36"/>
    </row>
    <row r="439">
      <c r="I439" s="36"/>
    </row>
    <row r="440">
      <c r="I440" s="36"/>
    </row>
    <row r="441">
      <c r="I441" s="36"/>
    </row>
    <row r="442">
      <c r="I442" s="36"/>
    </row>
    <row r="443">
      <c r="I443" s="36"/>
    </row>
    <row r="444">
      <c r="I444" s="36"/>
    </row>
    <row r="445">
      <c r="I445" s="36"/>
    </row>
    <row r="446">
      <c r="I446" s="36"/>
    </row>
    <row r="447">
      <c r="I447" s="36"/>
    </row>
    <row r="448">
      <c r="I448" s="36"/>
    </row>
    <row r="449">
      <c r="I449" s="36"/>
    </row>
    <row r="450">
      <c r="I450" s="36"/>
    </row>
    <row r="451">
      <c r="I451" s="36"/>
    </row>
    <row r="452">
      <c r="I452" s="36"/>
    </row>
    <row r="453">
      <c r="I453" s="36"/>
    </row>
    <row r="454">
      <c r="I454" s="36"/>
    </row>
    <row r="455">
      <c r="I455" s="36"/>
    </row>
    <row r="456">
      <c r="I456" s="36"/>
    </row>
    <row r="457">
      <c r="I457" s="36"/>
    </row>
    <row r="458">
      <c r="I458" s="36"/>
    </row>
    <row r="459">
      <c r="I459" s="36"/>
    </row>
    <row r="460">
      <c r="I460" s="36"/>
    </row>
    <row r="461">
      <c r="I461" s="36"/>
    </row>
    <row r="462">
      <c r="I462" s="36"/>
    </row>
    <row r="463">
      <c r="I463" s="36"/>
    </row>
    <row r="464">
      <c r="I464" s="36"/>
    </row>
    <row r="465">
      <c r="I465" s="36"/>
    </row>
    <row r="466">
      <c r="I466" s="36"/>
    </row>
    <row r="467">
      <c r="I467" s="36"/>
    </row>
    <row r="468">
      <c r="I468" s="36"/>
    </row>
    <row r="469">
      <c r="I469" s="36"/>
    </row>
    <row r="470">
      <c r="I470" s="36"/>
    </row>
    <row r="471">
      <c r="I471" s="36"/>
    </row>
    <row r="472">
      <c r="I472" s="36"/>
    </row>
    <row r="473">
      <c r="I473" s="36"/>
    </row>
    <row r="474">
      <c r="I474" s="36"/>
    </row>
    <row r="475">
      <c r="I475" s="36"/>
    </row>
    <row r="476">
      <c r="I476" s="36"/>
    </row>
    <row r="477">
      <c r="I477" s="36"/>
    </row>
    <row r="478">
      <c r="I478" s="36"/>
    </row>
    <row r="479">
      <c r="I479" s="36"/>
    </row>
    <row r="480">
      <c r="I480" s="36"/>
    </row>
    <row r="481">
      <c r="I481" s="36"/>
    </row>
    <row r="482">
      <c r="I482" s="36"/>
    </row>
    <row r="483">
      <c r="I483" s="36"/>
    </row>
    <row r="484">
      <c r="I484" s="36"/>
    </row>
    <row r="485">
      <c r="I485" s="36"/>
    </row>
    <row r="486">
      <c r="I486" s="36"/>
    </row>
    <row r="487">
      <c r="I487" s="36"/>
    </row>
    <row r="488">
      <c r="I488" s="36"/>
    </row>
    <row r="489">
      <c r="I489" s="36"/>
    </row>
    <row r="490">
      <c r="I490" s="36"/>
    </row>
    <row r="491">
      <c r="I491" s="36"/>
    </row>
    <row r="492">
      <c r="I492" s="36"/>
    </row>
    <row r="493">
      <c r="I493" s="36"/>
    </row>
    <row r="494">
      <c r="I494" s="36"/>
    </row>
    <row r="495">
      <c r="I495" s="36"/>
    </row>
    <row r="496">
      <c r="I496" s="36"/>
    </row>
    <row r="497">
      <c r="I497" s="36"/>
    </row>
    <row r="498">
      <c r="I498" s="36"/>
    </row>
    <row r="499">
      <c r="I499" s="36"/>
    </row>
    <row r="500">
      <c r="I500" s="36"/>
    </row>
    <row r="501">
      <c r="I501" s="36"/>
    </row>
    <row r="502">
      <c r="I502" s="36"/>
    </row>
    <row r="503">
      <c r="I503" s="36"/>
    </row>
    <row r="504">
      <c r="I504" s="36"/>
    </row>
    <row r="505">
      <c r="I505" s="36"/>
    </row>
    <row r="506">
      <c r="I506" s="36"/>
    </row>
    <row r="507">
      <c r="I507" s="36"/>
    </row>
    <row r="508">
      <c r="I508" s="36"/>
    </row>
    <row r="509">
      <c r="I509" s="36"/>
    </row>
    <row r="510">
      <c r="I510" s="36"/>
    </row>
    <row r="511">
      <c r="I511" s="36"/>
    </row>
    <row r="512">
      <c r="I512" s="36"/>
    </row>
    <row r="513">
      <c r="I513" s="36"/>
    </row>
    <row r="514">
      <c r="I514" s="36"/>
    </row>
    <row r="515">
      <c r="I515" s="36"/>
    </row>
    <row r="516">
      <c r="I516" s="36"/>
    </row>
    <row r="517">
      <c r="I517" s="36"/>
    </row>
    <row r="518">
      <c r="I518" s="36"/>
    </row>
    <row r="519">
      <c r="I519" s="36"/>
    </row>
    <row r="520">
      <c r="I520" s="36"/>
    </row>
    <row r="521">
      <c r="I521" s="36"/>
    </row>
    <row r="522">
      <c r="I522" s="36"/>
    </row>
    <row r="523">
      <c r="I523" s="36"/>
    </row>
    <row r="524">
      <c r="I524" s="36"/>
    </row>
    <row r="525">
      <c r="I525" s="36"/>
    </row>
    <row r="526">
      <c r="I526" s="36"/>
    </row>
    <row r="527">
      <c r="I527" s="36"/>
    </row>
    <row r="528">
      <c r="I528" s="36"/>
    </row>
    <row r="529">
      <c r="I529" s="36"/>
    </row>
    <row r="530">
      <c r="I530" s="36"/>
    </row>
    <row r="531">
      <c r="I531" s="36"/>
    </row>
    <row r="532">
      <c r="I532" s="36"/>
    </row>
    <row r="533">
      <c r="I533" s="36"/>
    </row>
    <row r="534">
      <c r="I534" s="36"/>
    </row>
    <row r="535">
      <c r="I535" s="36"/>
    </row>
    <row r="536">
      <c r="I536" s="36"/>
    </row>
    <row r="537">
      <c r="I537" s="36"/>
    </row>
    <row r="538">
      <c r="I538" s="36"/>
    </row>
    <row r="539">
      <c r="I539" s="36"/>
    </row>
    <row r="540">
      <c r="I540" s="36"/>
    </row>
    <row r="541">
      <c r="I541" s="36"/>
    </row>
    <row r="542">
      <c r="I542" s="36"/>
    </row>
    <row r="543">
      <c r="I543" s="36"/>
    </row>
    <row r="544">
      <c r="I544" s="36"/>
    </row>
    <row r="545">
      <c r="I545" s="36"/>
    </row>
    <row r="546">
      <c r="I546" s="36"/>
    </row>
    <row r="547">
      <c r="I547" s="36"/>
    </row>
    <row r="548">
      <c r="I548" s="36"/>
    </row>
    <row r="549">
      <c r="I549" s="36"/>
    </row>
    <row r="550">
      <c r="I550" s="36"/>
    </row>
    <row r="551">
      <c r="I551" s="36"/>
    </row>
    <row r="552">
      <c r="I552" s="36"/>
    </row>
    <row r="553">
      <c r="I553" s="36"/>
    </row>
    <row r="554">
      <c r="I554" s="36"/>
    </row>
    <row r="555">
      <c r="I555" s="36"/>
    </row>
    <row r="556">
      <c r="I556" s="36"/>
    </row>
    <row r="557">
      <c r="I557" s="36"/>
    </row>
    <row r="558">
      <c r="I558" s="36"/>
    </row>
    <row r="559">
      <c r="I559" s="36"/>
    </row>
    <row r="560">
      <c r="I560" s="36"/>
    </row>
    <row r="561">
      <c r="I561" s="36"/>
    </row>
    <row r="562">
      <c r="I562" s="36"/>
    </row>
    <row r="563">
      <c r="I563" s="36"/>
    </row>
    <row r="564">
      <c r="I564" s="36"/>
    </row>
    <row r="565">
      <c r="I565" s="36"/>
    </row>
    <row r="566">
      <c r="I566" s="36"/>
    </row>
    <row r="567">
      <c r="I567" s="36"/>
    </row>
    <row r="568">
      <c r="I568" s="36"/>
    </row>
    <row r="569">
      <c r="I569" s="36"/>
    </row>
    <row r="570">
      <c r="I570" s="36"/>
    </row>
    <row r="571">
      <c r="I571" s="36"/>
    </row>
    <row r="572">
      <c r="I572" s="36"/>
    </row>
    <row r="573">
      <c r="I573" s="36"/>
    </row>
    <row r="574">
      <c r="I574" s="36"/>
    </row>
    <row r="575">
      <c r="I575" s="36"/>
    </row>
    <row r="576">
      <c r="I576" s="36"/>
    </row>
    <row r="577">
      <c r="I577" s="36"/>
    </row>
    <row r="578">
      <c r="I578" s="36"/>
    </row>
    <row r="579">
      <c r="I579" s="36"/>
    </row>
    <row r="580">
      <c r="I580" s="36"/>
    </row>
    <row r="581">
      <c r="I581" s="36"/>
    </row>
    <row r="582">
      <c r="I582" s="36"/>
    </row>
    <row r="583">
      <c r="I583" s="36"/>
    </row>
    <row r="584">
      <c r="I584" s="36"/>
    </row>
    <row r="585">
      <c r="I585" s="36"/>
    </row>
    <row r="586">
      <c r="I586" s="36"/>
    </row>
    <row r="587">
      <c r="I587" s="36"/>
    </row>
    <row r="588">
      <c r="I588" s="36"/>
    </row>
    <row r="589">
      <c r="I589" s="36"/>
    </row>
    <row r="590">
      <c r="I590" s="36"/>
    </row>
    <row r="591">
      <c r="I591" s="36"/>
    </row>
    <row r="592">
      <c r="I592" s="36"/>
    </row>
    <row r="593">
      <c r="I593" s="36"/>
    </row>
    <row r="594">
      <c r="I594" s="36"/>
    </row>
    <row r="595">
      <c r="I595" s="36"/>
    </row>
    <row r="596">
      <c r="I596" s="36"/>
    </row>
    <row r="597">
      <c r="I597" s="36"/>
    </row>
    <row r="598">
      <c r="I598" s="36"/>
    </row>
    <row r="599">
      <c r="I599" s="36"/>
    </row>
    <row r="600">
      <c r="I600" s="36"/>
    </row>
    <row r="601">
      <c r="I601" s="36"/>
    </row>
    <row r="602">
      <c r="I602" s="36"/>
    </row>
    <row r="603">
      <c r="I603" s="36"/>
    </row>
    <row r="604">
      <c r="I604" s="36"/>
    </row>
    <row r="605">
      <c r="I605" s="36"/>
    </row>
    <row r="606">
      <c r="I606" s="36"/>
    </row>
    <row r="607">
      <c r="I607" s="36"/>
    </row>
    <row r="608">
      <c r="I608" s="36"/>
    </row>
    <row r="609">
      <c r="I609" s="36"/>
    </row>
    <row r="610">
      <c r="I610" s="36"/>
    </row>
    <row r="611">
      <c r="I611" s="36"/>
    </row>
    <row r="612">
      <c r="I612" s="36"/>
    </row>
    <row r="613">
      <c r="I613" s="36"/>
    </row>
    <row r="614">
      <c r="I614" s="36"/>
    </row>
    <row r="615">
      <c r="I615" s="36"/>
    </row>
    <row r="616">
      <c r="I616" s="36"/>
    </row>
    <row r="617">
      <c r="I617" s="36"/>
    </row>
    <row r="618">
      <c r="I618" s="36"/>
    </row>
    <row r="619">
      <c r="I619" s="36"/>
    </row>
    <row r="620">
      <c r="I620" s="36"/>
    </row>
    <row r="621">
      <c r="I621" s="36"/>
    </row>
    <row r="622">
      <c r="I622" s="36"/>
    </row>
    <row r="623">
      <c r="I623" s="36"/>
    </row>
    <row r="624">
      <c r="I624" s="36"/>
    </row>
    <row r="625">
      <c r="I625" s="36"/>
    </row>
    <row r="626">
      <c r="I626" s="36"/>
    </row>
    <row r="627">
      <c r="I627" s="36"/>
    </row>
    <row r="628">
      <c r="I628" s="36"/>
    </row>
    <row r="629">
      <c r="I629" s="36"/>
    </row>
    <row r="630">
      <c r="I630" s="36"/>
    </row>
    <row r="631">
      <c r="I631" s="36"/>
    </row>
    <row r="632">
      <c r="I632" s="36"/>
    </row>
    <row r="633">
      <c r="I633" s="36"/>
    </row>
    <row r="634">
      <c r="I634" s="36"/>
    </row>
    <row r="635">
      <c r="I635" s="36"/>
    </row>
    <row r="636">
      <c r="I636" s="36"/>
    </row>
    <row r="637">
      <c r="I637" s="36"/>
    </row>
    <row r="638">
      <c r="I638" s="36"/>
    </row>
    <row r="639">
      <c r="I639" s="36"/>
    </row>
    <row r="640">
      <c r="I640" s="36"/>
    </row>
    <row r="641">
      <c r="I641" s="36"/>
    </row>
    <row r="642">
      <c r="I642" s="36"/>
    </row>
    <row r="643">
      <c r="I643" s="36"/>
    </row>
    <row r="644">
      <c r="I644" s="36"/>
    </row>
    <row r="645">
      <c r="I645" s="36"/>
    </row>
    <row r="646">
      <c r="I646" s="36"/>
    </row>
    <row r="647">
      <c r="I647" s="36"/>
    </row>
    <row r="648">
      <c r="I648" s="36"/>
    </row>
    <row r="649">
      <c r="I649" s="36"/>
    </row>
    <row r="650">
      <c r="I650" s="36"/>
    </row>
    <row r="651">
      <c r="I651" s="36"/>
    </row>
    <row r="652">
      <c r="I652" s="36"/>
    </row>
    <row r="653">
      <c r="I653" s="36"/>
    </row>
    <row r="654">
      <c r="I654" s="36"/>
    </row>
    <row r="655">
      <c r="I655" s="36"/>
    </row>
    <row r="656">
      <c r="I656" s="36"/>
    </row>
    <row r="657">
      <c r="I657" s="36"/>
    </row>
    <row r="658">
      <c r="I658" s="36"/>
    </row>
    <row r="659">
      <c r="I659" s="36"/>
    </row>
    <row r="660">
      <c r="I660" s="36"/>
    </row>
    <row r="661">
      <c r="I661" s="36"/>
    </row>
    <row r="662">
      <c r="I662" s="36"/>
    </row>
    <row r="663">
      <c r="I663" s="36"/>
    </row>
    <row r="664">
      <c r="I664" s="36"/>
    </row>
    <row r="665">
      <c r="I665" s="36"/>
    </row>
    <row r="666">
      <c r="I666" s="36"/>
    </row>
    <row r="667">
      <c r="I667" s="36"/>
    </row>
    <row r="668">
      <c r="I668" s="36"/>
    </row>
    <row r="669">
      <c r="I669" s="36"/>
    </row>
    <row r="670">
      <c r="I670" s="36"/>
    </row>
    <row r="671">
      <c r="I671" s="36"/>
    </row>
    <row r="672">
      <c r="I672" s="36"/>
    </row>
    <row r="673">
      <c r="I673" s="36"/>
    </row>
    <row r="674">
      <c r="I674" s="36"/>
    </row>
    <row r="675">
      <c r="I675" s="36"/>
    </row>
    <row r="676">
      <c r="I676" s="36"/>
    </row>
    <row r="677">
      <c r="I677" s="36"/>
    </row>
    <row r="678">
      <c r="I678" s="36"/>
    </row>
    <row r="679">
      <c r="I679" s="36"/>
    </row>
    <row r="680">
      <c r="I680" s="36"/>
    </row>
    <row r="681">
      <c r="I681" s="36"/>
    </row>
    <row r="682">
      <c r="I682" s="36"/>
    </row>
    <row r="683">
      <c r="I683" s="36"/>
    </row>
    <row r="684">
      <c r="I684" s="36"/>
    </row>
    <row r="685">
      <c r="I685" s="36"/>
    </row>
    <row r="686">
      <c r="I686" s="36"/>
    </row>
    <row r="687">
      <c r="I687" s="36"/>
    </row>
    <row r="688">
      <c r="I688" s="36"/>
    </row>
    <row r="689">
      <c r="I689" s="36"/>
    </row>
    <row r="690">
      <c r="I690" s="36"/>
    </row>
    <row r="691">
      <c r="I691" s="36"/>
    </row>
    <row r="692">
      <c r="I692" s="36"/>
    </row>
    <row r="693">
      <c r="I693" s="36"/>
    </row>
    <row r="694">
      <c r="I694" s="36"/>
    </row>
    <row r="695">
      <c r="I695" s="36"/>
    </row>
    <row r="696">
      <c r="I696" s="36"/>
    </row>
    <row r="697">
      <c r="I697" s="36"/>
    </row>
    <row r="698">
      <c r="I698" s="36"/>
    </row>
    <row r="699">
      <c r="I699" s="36"/>
    </row>
    <row r="700">
      <c r="I700" s="36"/>
    </row>
    <row r="701">
      <c r="I701" s="36"/>
    </row>
    <row r="702">
      <c r="I702" s="36"/>
    </row>
    <row r="703">
      <c r="I703" s="36"/>
    </row>
    <row r="704">
      <c r="I704" s="36"/>
    </row>
    <row r="705">
      <c r="I705" s="36"/>
    </row>
    <row r="706">
      <c r="I706" s="36"/>
    </row>
    <row r="707">
      <c r="I707" s="36"/>
    </row>
    <row r="708">
      <c r="I708" s="36"/>
    </row>
    <row r="709">
      <c r="I709" s="36"/>
    </row>
    <row r="710">
      <c r="I710" s="36"/>
    </row>
    <row r="711">
      <c r="I711" s="36"/>
    </row>
    <row r="712">
      <c r="I712" s="36"/>
    </row>
    <row r="713">
      <c r="I713" s="36"/>
    </row>
    <row r="714">
      <c r="I714" s="36"/>
    </row>
    <row r="715">
      <c r="I715" s="36"/>
    </row>
    <row r="716">
      <c r="I716" s="36"/>
    </row>
    <row r="717">
      <c r="I717" s="36"/>
    </row>
    <row r="718">
      <c r="I718" s="36"/>
    </row>
    <row r="719">
      <c r="I719" s="36"/>
    </row>
    <row r="720">
      <c r="I720" s="36"/>
    </row>
    <row r="721">
      <c r="I721" s="36"/>
    </row>
    <row r="722">
      <c r="I722" s="36"/>
    </row>
    <row r="723">
      <c r="I723" s="36"/>
    </row>
    <row r="724">
      <c r="I724" s="36"/>
    </row>
    <row r="725">
      <c r="I725" s="36"/>
    </row>
    <row r="726">
      <c r="I726" s="36"/>
    </row>
    <row r="727">
      <c r="I727" s="36"/>
    </row>
    <row r="728">
      <c r="I728" s="36"/>
    </row>
    <row r="729">
      <c r="I729" s="36"/>
    </row>
    <row r="730">
      <c r="I730" s="36"/>
    </row>
    <row r="731">
      <c r="I731" s="36"/>
    </row>
    <row r="732">
      <c r="I732" s="36"/>
    </row>
    <row r="733">
      <c r="I733" s="36"/>
    </row>
    <row r="734">
      <c r="I734" s="36"/>
    </row>
    <row r="735">
      <c r="I735" s="36"/>
    </row>
    <row r="736">
      <c r="I736" s="36"/>
    </row>
    <row r="737">
      <c r="I737" s="36"/>
    </row>
    <row r="738">
      <c r="I738" s="36"/>
    </row>
    <row r="739">
      <c r="I739" s="36"/>
    </row>
    <row r="740">
      <c r="I740" s="36"/>
    </row>
    <row r="741">
      <c r="I741" s="36"/>
    </row>
    <row r="742">
      <c r="I742" s="36"/>
    </row>
    <row r="743">
      <c r="I743" s="36"/>
    </row>
    <row r="744">
      <c r="I744" s="36"/>
    </row>
    <row r="745">
      <c r="I745" s="36"/>
    </row>
    <row r="746">
      <c r="I746" s="36"/>
    </row>
    <row r="747">
      <c r="I747" s="36"/>
    </row>
    <row r="748">
      <c r="I748" s="36"/>
    </row>
    <row r="749">
      <c r="I749" s="36"/>
    </row>
    <row r="750">
      <c r="I750" s="36"/>
    </row>
    <row r="751">
      <c r="I751" s="36"/>
    </row>
    <row r="752">
      <c r="I752" s="36"/>
    </row>
    <row r="753">
      <c r="I753" s="36"/>
    </row>
    <row r="754">
      <c r="I754" s="36"/>
    </row>
    <row r="755">
      <c r="I755" s="36"/>
    </row>
    <row r="756">
      <c r="I756" s="36"/>
    </row>
    <row r="757">
      <c r="I757" s="36"/>
    </row>
    <row r="758">
      <c r="I758" s="36"/>
    </row>
    <row r="759">
      <c r="I759" s="36"/>
    </row>
    <row r="760">
      <c r="I760" s="36"/>
    </row>
    <row r="761">
      <c r="I761" s="36"/>
    </row>
    <row r="762">
      <c r="I762" s="36"/>
    </row>
    <row r="763">
      <c r="I763" s="36"/>
    </row>
    <row r="764">
      <c r="I764" s="36"/>
    </row>
    <row r="765">
      <c r="I765" s="36"/>
    </row>
    <row r="766">
      <c r="I766" s="36"/>
    </row>
    <row r="767">
      <c r="I767" s="36"/>
    </row>
    <row r="768">
      <c r="I768" s="36"/>
    </row>
    <row r="769">
      <c r="I769" s="36"/>
    </row>
    <row r="770">
      <c r="I770" s="36"/>
    </row>
    <row r="771">
      <c r="I771" s="36"/>
    </row>
    <row r="772">
      <c r="I772" s="36"/>
    </row>
    <row r="773">
      <c r="I773" s="36"/>
    </row>
    <row r="774">
      <c r="I774" s="36"/>
    </row>
    <row r="775">
      <c r="I775" s="36"/>
    </row>
    <row r="776">
      <c r="I776" s="36"/>
    </row>
    <row r="777">
      <c r="I777" s="36"/>
    </row>
    <row r="778">
      <c r="I778" s="36"/>
    </row>
    <row r="779">
      <c r="I779" s="36"/>
    </row>
    <row r="780">
      <c r="I780" s="36"/>
    </row>
    <row r="781">
      <c r="I781" s="36"/>
    </row>
    <row r="782">
      <c r="I782" s="36"/>
    </row>
    <row r="783">
      <c r="I783" s="36"/>
    </row>
    <row r="784">
      <c r="I784" s="36"/>
    </row>
    <row r="785">
      <c r="I785" s="36"/>
    </row>
    <row r="786">
      <c r="I786" s="36"/>
    </row>
    <row r="787">
      <c r="I787" s="36"/>
    </row>
    <row r="788">
      <c r="I788" s="36"/>
    </row>
    <row r="789">
      <c r="I789" s="36"/>
    </row>
    <row r="790">
      <c r="I790" s="36"/>
    </row>
    <row r="791">
      <c r="I791" s="36"/>
    </row>
    <row r="792">
      <c r="I792" s="36"/>
    </row>
    <row r="793">
      <c r="I793" s="36"/>
    </row>
    <row r="794">
      <c r="I794" s="36"/>
    </row>
    <row r="795">
      <c r="I795" s="36"/>
    </row>
    <row r="796">
      <c r="I796" s="36"/>
    </row>
    <row r="797">
      <c r="I797" s="36"/>
    </row>
    <row r="798">
      <c r="I798" s="36"/>
    </row>
    <row r="799">
      <c r="I799" s="36"/>
    </row>
    <row r="800">
      <c r="I800" s="36"/>
    </row>
    <row r="801">
      <c r="I801" s="36"/>
    </row>
    <row r="802">
      <c r="I802" s="36"/>
    </row>
    <row r="803">
      <c r="I803" s="36"/>
    </row>
    <row r="804">
      <c r="I804" s="36"/>
    </row>
    <row r="805">
      <c r="I805" s="36"/>
    </row>
    <row r="806">
      <c r="I806" s="36"/>
    </row>
    <row r="807">
      <c r="I807" s="36"/>
    </row>
    <row r="808">
      <c r="I808" s="36"/>
    </row>
    <row r="809">
      <c r="I809" s="36"/>
    </row>
    <row r="810">
      <c r="I810" s="36"/>
    </row>
    <row r="811">
      <c r="I811" s="36"/>
    </row>
    <row r="812">
      <c r="I812" s="36"/>
    </row>
    <row r="813">
      <c r="I813" s="36"/>
    </row>
    <row r="814">
      <c r="I814" s="36"/>
    </row>
    <row r="815">
      <c r="I815" s="36"/>
    </row>
    <row r="816">
      <c r="I816" s="36"/>
    </row>
    <row r="817">
      <c r="I817" s="36"/>
    </row>
    <row r="818">
      <c r="I818" s="36"/>
    </row>
    <row r="819">
      <c r="I819" s="36"/>
    </row>
    <row r="820">
      <c r="I820" s="36"/>
    </row>
    <row r="821">
      <c r="I821" s="36"/>
    </row>
    <row r="822">
      <c r="I822" s="36"/>
    </row>
    <row r="823">
      <c r="I823" s="36"/>
    </row>
    <row r="824">
      <c r="I824" s="36"/>
    </row>
    <row r="825">
      <c r="I825" s="36"/>
    </row>
    <row r="826">
      <c r="I826" s="36"/>
    </row>
    <row r="827">
      <c r="I827" s="36"/>
    </row>
    <row r="828">
      <c r="I828" s="36"/>
    </row>
    <row r="829">
      <c r="I829" s="36"/>
    </row>
    <row r="830">
      <c r="I830" s="36"/>
    </row>
    <row r="831">
      <c r="I831" s="36"/>
    </row>
    <row r="832">
      <c r="I832" s="36"/>
    </row>
    <row r="833">
      <c r="I833" s="36"/>
    </row>
    <row r="834">
      <c r="I834" s="36"/>
    </row>
    <row r="835">
      <c r="I835" s="36"/>
    </row>
    <row r="836">
      <c r="I836" s="36"/>
    </row>
    <row r="837">
      <c r="I837" s="36"/>
    </row>
    <row r="838">
      <c r="I838" s="36"/>
    </row>
    <row r="839">
      <c r="I839" s="36"/>
    </row>
    <row r="840">
      <c r="I840" s="36"/>
    </row>
    <row r="841">
      <c r="I841" s="36"/>
    </row>
    <row r="842">
      <c r="I842" s="36"/>
    </row>
    <row r="843">
      <c r="I843" s="36"/>
    </row>
    <row r="844">
      <c r="I844" s="36"/>
    </row>
    <row r="845">
      <c r="I845" s="36"/>
    </row>
    <row r="846">
      <c r="I846" s="36"/>
    </row>
    <row r="847">
      <c r="I847" s="36"/>
    </row>
    <row r="848">
      <c r="I848" s="36"/>
    </row>
    <row r="849">
      <c r="I849" s="36"/>
    </row>
    <row r="850">
      <c r="I850" s="36"/>
    </row>
    <row r="851">
      <c r="I851" s="36"/>
    </row>
    <row r="852">
      <c r="I852" s="36"/>
    </row>
    <row r="853">
      <c r="I853" s="36"/>
    </row>
    <row r="854">
      <c r="I854" s="36"/>
    </row>
    <row r="855">
      <c r="I855" s="36"/>
    </row>
    <row r="856">
      <c r="I856" s="36"/>
    </row>
    <row r="857">
      <c r="I857" s="36"/>
    </row>
    <row r="858">
      <c r="I858" s="36"/>
    </row>
    <row r="859">
      <c r="I859" s="36"/>
    </row>
    <row r="860">
      <c r="I860" s="36"/>
    </row>
    <row r="861">
      <c r="I861" s="36"/>
    </row>
    <row r="862">
      <c r="I862" s="36"/>
    </row>
    <row r="863">
      <c r="I863" s="36"/>
    </row>
    <row r="864">
      <c r="I864" s="36"/>
    </row>
    <row r="865">
      <c r="I865" s="36"/>
    </row>
    <row r="866">
      <c r="I866" s="36"/>
    </row>
    <row r="867">
      <c r="I867" s="36"/>
    </row>
    <row r="868">
      <c r="I868" s="36"/>
    </row>
    <row r="869">
      <c r="I869" s="36"/>
    </row>
    <row r="870">
      <c r="I870" s="36"/>
    </row>
    <row r="871">
      <c r="I871" s="36"/>
    </row>
    <row r="872">
      <c r="I872" s="36"/>
    </row>
    <row r="873">
      <c r="I873" s="36"/>
    </row>
    <row r="874">
      <c r="I874" s="36"/>
    </row>
    <row r="875">
      <c r="I875" s="36"/>
    </row>
    <row r="876">
      <c r="I876" s="36"/>
    </row>
    <row r="877">
      <c r="I877" s="36"/>
    </row>
    <row r="878">
      <c r="I878" s="36"/>
    </row>
    <row r="879">
      <c r="I879" s="36"/>
    </row>
    <row r="880">
      <c r="I880" s="36"/>
    </row>
    <row r="881">
      <c r="I881" s="36"/>
    </row>
    <row r="882">
      <c r="I882" s="36"/>
    </row>
    <row r="883">
      <c r="I883" s="36"/>
    </row>
    <row r="884">
      <c r="I884" s="36"/>
    </row>
    <row r="885">
      <c r="I885" s="36"/>
    </row>
    <row r="886">
      <c r="I886" s="36"/>
    </row>
    <row r="887">
      <c r="I887" s="36"/>
    </row>
    <row r="888">
      <c r="I888" s="36"/>
    </row>
    <row r="889">
      <c r="I889" s="36"/>
    </row>
    <row r="890">
      <c r="I890" s="36"/>
    </row>
    <row r="891">
      <c r="I891" s="36"/>
    </row>
    <row r="892">
      <c r="I892" s="36"/>
    </row>
    <row r="893">
      <c r="I893" s="36"/>
    </row>
    <row r="894">
      <c r="I894" s="36"/>
    </row>
    <row r="895">
      <c r="I895" s="36"/>
    </row>
    <row r="896">
      <c r="I896" s="36"/>
    </row>
    <row r="897">
      <c r="I897" s="36"/>
    </row>
    <row r="898">
      <c r="I898" s="36"/>
    </row>
    <row r="899">
      <c r="I899" s="36"/>
    </row>
    <row r="900">
      <c r="I900" s="36"/>
    </row>
    <row r="901">
      <c r="I901" s="36"/>
    </row>
    <row r="902">
      <c r="I902" s="36"/>
    </row>
    <row r="903">
      <c r="I903" s="36"/>
    </row>
    <row r="904">
      <c r="I904" s="36"/>
    </row>
    <row r="905">
      <c r="I905" s="36"/>
    </row>
    <row r="906">
      <c r="I906" s="36"/>
    </row>
    <row r="907">
      <c r="I907" s="36"/>
    </row>
    <row r="908">
      <c r="I908" s="36"/>
    </row>
    <row r="909">
      <c r="I909" s="36"/>
    </row>
    <row r="910">
      <c r="I910" s="36"/>
    </row>
    <row r="911">
      <c r="I911" s="36"/>
    </row>
    <row r="912">
      <c r="I912" s="36"/>
    </row>
    <row r="913">
      <c r="I913" s="36"/>
    </row>
    <row r="914">
      <c r="I914" s="36"/>
    </row>
    <row r="915">
      <c r="I915" s="36"/>
    </row>
    <row r="916">
      <c r="I916" s="36"/>
    </row>
    <row r="917">
      <c r="I917" s="36"/>
    </row>
    <row r="918">
      <c r="I918" s="36"/>
    </row>
    <row r="919">
      <c r="I919" s="36"/>
    </row>
    <row r="920">
      <c r="I920" s="36"/>
    </row>
    <row r="921">
      <c r="I921" s="36"/>
    </row>
    <row r="922">
      <c r="I922" s="36"/>
    </row>
    <row r="923">
      <c r="I923" s="36"/>
    </row>
    <row r="924">
      <c r="I924" s="36"/>
    </row>
    <row r="925">
      <c r="I925" s="36"/>
    </row>
    <row r="926">
      <c r="I926" s="36"/>
    </row>
    <row r="927">
      <c r="I927" s="36"/>
    </row>
    <row r="928">
      <c r="I928" s="36"/>
    </row>
    <row r="929">
      <c r="I929" s="36"/>
    </row>
    <row r="930">
      <c r="I930" s="36"/>
    </row>
    <row r="931">
      <c r="I931" s="36"/>
    </row>
    <row r="932">
      <c r="I932" s="36"/>
    </row>
    <row r="933">
      <c r="I933" s="36"/>
    </row>
    <row r="934">
      <c r="I934" s="36"/>
    </row>
    <row r="935">
      <c r="I935" s="36"/>
    </row>
    <row r="936">
      <c r="I936" s="36"/>
    </row>
    <row r="937">
      <c r="I937" s="36"/>
    </row>
    <row r="938">
      <c r="I938" s="36"/>
    </row>
    <row r="939">
      <c r="I939" s="36"/>
    </row>
    <row r="940">
      <c r="I940" s="36"/>
    </row>
    <row r="941">
      <c r="I941" s="36"/>
    </row>
    <row r="942">
      <c r="I942" s="36"/>
    </row>
    <row r="943">
      <c r="I943" s="36"/>
    </row>
    <row r="944">
      <c r="I944" s="36"/>
    </row>
    <row r="945">
      <c r="I945" s="36"/>
    </row>
    <row r="946">
      <c r="I946" s="36"/>
    </row>
    <row r="947">
      <c r="I947" s="36"/>
    </row>
    <row r="948">
      <c r="I948" s="36"/>
    </row>
    <row r="949">
      <c r="I949" s="36"/>
    </row>
    <row r="950">
      <c r="I950" s="36"/>
    </row>
    <row r="951">
      <c r="I951" s="36"/>
    </row>
    <row r="952">
      <c r="I952" s="36"/>
    </row>
    <row r="953">
      <c r="I953" s="36"/>
    </row>
    <row r="954">
      <c r="I954" s="36"/>
    </row>
    <row r="955">
      <c r="I955" s="36"/>
    </row>
    <row r="956">
      <c r="I956" s="36"/>
    </row>
    <row r="957">
      <c r="I957" s="36"/>
    </row>
    <row r="958">
      <c r="I958" s="36"/>
    </row>
    <row r="959">
      <c r="I959" s="36"/>
    </row>
    <row r="960">
      <c r="I960" s="36"/>
    </row>
    <row r="961">
      <c r="I961" s="36"/>
    </row>
    <row r="962">
      <c r="I962" s="36"/>
    </row>
    <row r="963">
      <c r="I963" s="36"/>
    </row>
    <row r="964">
      <c r="I964" s="36"/>
    </row>
    <row r="965">
      <c r="I965" s="36"/>
    </row>
    <row r="966">
      <c r="I966" s="36"/>
    </row>
    <row r="967">
      <c r="I967" s="36"/>
    </row>
    <row r="968">
      <c r="I968" s="36"/>
    </row>
    <row r="969">
      <c r="I969" s="36"/>
    </row>
    <row r="970">
      <c r="I970" s="36"/>
    </row>
    <row r="971">
      <c r="I971" s="36"/>
    </row>
    <row r="972">
      <c r="I972" s="36"/>
    </row>
    <row r="973">
      <c r="I973" s="36"/>
    </row>
    <row r="974">
      <c r="I974" s="36"/>
    </row>
    <row r="975">
      <c r="I975" s="36"/>
    </row>
    <row r="976">
      <c r="I976" s="36"/>
    </row>
    <row r="977">
      <c r="I977" s="36"/>
    </row>
    <row r="978">
      <c r="I978" s="36"/>
    </row>
    <row r="979">
      <c r="I979" s="36"/>
    </row>
    <row r="980">
      <c r="I980" s="36"/>
    </row>
    <row r="981">
      <c r="I981" s="36"/>
    </row>
    <row r="982">
      <c r="I982" s="36"/>
    </row>
    <row r="983">
      <c r="I983" s="36"/>
    </row>
    <row r="984">
      <c r="I984" s="36"/>
    </row>
    <row r="985">
      <c r="I985" s="36"/>
    </row>
    <row r="986">
      <c r="I986" s="36"/>
    </row>
    <row r="987">
      <c r="I987" s="36"/>
    </row>
    <row r="988">
      <c r="I988" s="36"/>
    </row>
    <row r="989">
      <c r="I989" s="36"/>
    </row>
    <row r="990">
      <c r="I990" s="36"/>
    </row>
    <row r="991">
      <c r="I991" s="36"/>
    </row>
    <row r="992">
      <c r="I992" s="36"/>
    </row>
    <row r="993">
      <c r="I993" s="36"/>
    </row>
    <row r="994">
      <c r="I994" s="36"/>
    </row>
    <row r="995">
      <c r="I995" s="36"/>
    </row>
    <row r="996">
      <c r="I996" s="36"/>
    </row>
    <row r="997">
      <c r="I997" s="36"/>
    </row>
    <row r="998">
      <c r="I998" s="36"/>
    </row>
    <row r="999">
      <c r="I999" s="36"/>
    </row>
  </sheetData>
  <autoFilter ref="$A$2:$T$14"/>
  <mergeCells count="4">
    <mergeCell ref="A1:N1"/>
    <mergeCell ref="P1:Q1"/>
    <mergeCell ref="R1:S1"/>
    <mergeCell ref="U1:V1"/>
  </mergeCells>
  <conditionalFormatting sqref="P3:P14">
    <cfRule type="containsText" dxfId="5" priority="1" operator="containsText" text="SIM">
      <formula>NOT(ISERROR(SEARCH(("SIM"),(P3))))</formula>
    </cfRule>
  </conditionalFormatting>
  <conditionalFormatting sqref="P3:P14">
    <cfRule type="containsText" dxfId="6" priority="2" operator="containsText" text="NÃO">
      <formula>NOT(ISERROR(SEARCH(("NÃO"),(P3))))</formula>
    </cfRule>
  </conditionalFormatting>
  <conditionalFormatting sqref="R3:S14">
    <cfRule type="containsText" dxfId="5" priority="3" operator="containsText" text="SIM">
      <formula>NOT(ISERROR(SEARCH(("SIM"),(R3))))</formula>
    </cfRule>
  </conditionalFormatting>
  <conditionalFormatting sqref="R3:S14">
    <cfRule type="containsText" dxfId="6" priority="4" operator="containsText" text="NÃO">
      <formula>NOT(ISERROR(SEARCH(("NÃO"),(R3))))</formula>
    </cfRule>
  </conditionalFormatting>
  <conditionalFormatting sqref="A1:A999">
    <cfRule type="containsText" dxfId="2" priority="5" operator="containsText" text="2025">
      <formula>NOT(ISERROR(SEARCH(("2025"),(A1))))</formula>
    </cfRule>
  </conditionalFormatting>
  <conditionalFormatting sqref="A1:A999">
    <cfRule type="containsText" dxfId="7" priority="6" operator="containsText" text="2026">
      <formula>NOT(ISERROR(SEARCH(("2026"),(A1))))</formula>
    </cfRule>
  </conditionalFormatting>
  <conditionalFormatting sqref="A3:A14">
    <cfRule type="containsText" dxfId="8" priority="7" operator="containsText" text="2024">
      <formula>NOT(ISERROR(SEARCH(("2024"),(A3))))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showGridLines="0" workbookViewId="0"/>
  </sheetViews>
  <sheetFormatPr customHeight="1" defaultColWidth="11.22" defaultRowHeight="15.75"/>
  <cols>
    <col customWidth="1" min="1" max="1" width="9.89"/>
    <col customWidth="1" min="2" max="2" width="78.22"/>
    <col customWidth="1" min="3" max="3" width="18.0"/>
    <col customWidth="1" min="4" max="4" width="16.78"/>
    <col customWidth="1" min="5" max="5" width="25.67"/>
    <col customWidth="1" min="6" max="6" width="16.78"/>
    <col customWidth="1" min="7" max="7" width="23.33"/>
    <col customWidth="1" min="11" max="11" width="78.22"/>
    <col customWidth="1" min="12" max="12" width="30.0"/>
    <col customWidth="1" min="13" max="13" width="49.56"/>
    <col hidden="1" min="14" max="14" width="11.22"/>
    <col customWidth="1" min="18" max="18" width="78.22"/>
    <col customWidth="1" min="19" max="19" width="27.78"/>
    <col customWidth="1" min="20" max="20" width="24.11"/>
    <col customWidth="1" min="21" max="21" width="22.22"/>
    <col customWidth="1" min="25" max="25" width="17.78"/>
    <col customWidth="1" min="26" max="26" width="30.0"/>
    <col customWidth="1" min="27" max="27" width="76.0"/>
    <col hidden="1" min="28" max="28" width="11.22"/>
  </cols>
  <sheetData>
    <row r="1"/>
    <row r="2"/>
    <row r="3"/>
    <row r="4"/>
    <row r="5"/>
    <row r="6"/>
    <row r="7"/>
    <row r="8"/>
    <row r="9"/>
    <row r="10"/>
    <row r="11"/>
    <row r="12"/>
    <row r="13"/>
  </sheetData>
  <conditionalFormatting sqref="T2:U12">
    <cfRule type="cellIs" dxfId="0" priority="1" operator="between">
      <formula>"01/01/2024"</formula>
      <formula>"31/12/2024"</formula>
    </cfRule>
  </conditionalFormatting>
  <conditionalFormatting sqref="T2:U12">
    <cfRule type="cellIs" dxfId="1" priority="2" operator="between">
      <formula>"01/01/2025"</formula>
      <formula>"31/12/2025"</formula>
    </cfRule>
  </conditionalFormatting>
  <conditionalFormatting sqref="T2:U12">
    <cfRule type="cellIs" dxfId="2" priority="3" operator="between">
      <formula>"01/01/2026"</formula>
      <formula>"31/12/2026"</formula>
    </cfRule>
  </conditionalFormatting>
  <conditionalFormatting sqref="T2:U12">
    <cfRule type="cellIs" dxfId="3" priority="4" operator="between">
      <formula>"01/01/2027"</formula>
      <formula>"31/12/2027"</formula>
    </cfRule>
  </conditionalFormatting>
  <conditionalFormatting sqref="T2:U12">
    <cfRule type="cellIs" dxfId="4" priority="5" operator="between">
      <formula>"01/01/2028"</formula>
      <formula>"31/12/2028"</formula>
    </cfRule>
  </conditionalFormatting>
  <conditionalFormatting sqref="A2:A12 J2:J11 Q2:Q12 X2:X12">
    <cfRule type="containsText" dxfId="0" priority="6" operator="containsText" text="2024">
      <formula>NOT(ISERROR(SEARCH(("2024"),(A2))))</formula>
    </cfRule>
  </conditionalFormatting>
  <conditionalFormatting sqref="A2:A12 J2:J11 Q2:Q12 X2:X12">
    <cfRule type="containsText" dxfId="1" priority="7" operator="containsText" text="2025">
      <formula>NOT(ISERROR(SEARCH(("2025"),(A2))))</formula>
    </cfRule>
  </conditionalFormatting>
  <conditionalFormatting sqref="A2:A12 J2:J11 Q2:Q12 X2:X12">
    <cfRule type="containsText" dxfId="2" priority="8" operator="containsText" text="2026">
      <formula>NOT(ISERROR(SEARCH(("2026"),(A2))))</formula>
    </cfRule>
  </conditionalFormatting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1.22" defaultRowHeight="15.75"/>
  <cols>
    <col customWidth="1" min="1" max="1" width="9.11"/>
    <col customWidth="1" min="2" max="2" width="44.33"/>
    <col customWidth="1" min="3" max="3" width="12.78"/>
    <col customWidth="1" min="4" max="4" width="15.78"/>
    <col customWidth="1" min="5" max="5" width="21.11"/>
    <col customWidth="1" min="6" max="7" width="12.89"/>
    <col customWidth="1" min="8" max="9" width="13.22"/>
    <col customWidth="1" min="10" max="13" width="15.22"/>
    <col customWidth="1" min="14" max="14" width="15.67"/>
    <col customWidth="1" min="15" max="15" width="33.6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" t="s">
        <v>1</v>
      </c>
      <c r="M1" s="3"/>
      <c r="N1" s="4" t="s">
        <v>405</v>
      </c>
      <c r="O1" s="4" t="s">
        <v>3</v>
      </c>
    </row>
    <row r="2">
      <c r="A2" s="5" t="s">
        <v>5</v>
      </c>
      <c r="B2" s="5" t="s">
        <v>6</v>
      </c>
      <c r="C2" s="5" t="s">
        <v>7</v>
      </c>
      <c r="D2" s="5" t="s">
        <v>8</v>
      </c>
      <c r="E2" s="5" t="s">
        <v>10</v>
      </c>
      <c r="F2" s="6" t="s">
        <v>13</v>
      </c>
      <c r="G2" s="5" t="s">
        <v>15</v>
      </c>
      <c r="H2" s="5" t="s">
        <v>16</v>
      </c>
      <c r="I2" s="5" t="s">
        <v>17</v>
      </c>
      <c r="J2" s="5" t="s">
        <v>406</v>
      </c>
      <c r="K2" s="5" t="s">
        <v>19</v>
      </c>
      <c r="L2" s="5" t="s">
        <v>21</v>
      </c>
      <c r="M2" s="5" t="s">
        <v>22</v>
      </c>
      <c r="N2" s="5" t="s">
        <v>407</v>
      </c>
      <c r="O2" s="5" t="s">
        <v>408</v>
      </c>
      <c r="P2" s="5" t="s">
        <v>30</v>
      </c>
    </row>
    <row r="3">
      <c r="A3" s="8">
        <v>2025.0</v>
      </c>
      <c r="B3" s="9" t="s">
        <v>409</v>
      </c>
      <c r="C3" s="8" t="s">
        <v>222</v>
      </c>
      <c r="D3" s="8" t="s">
        <v>410</v>
      </c>
      <c r="E3" s="8" t="s">
        <v>411</v>
      </c>
      <c r="F3" s="8" t="s">
        <v>56</v>
      </c>
      <c r="G3" s="8" t="s">
        <v>336</v>
      </c>
      <c r="H3" s="13">
        <v>45995.0</v>
      </c>
      <c r="I3" s="13">
        <v>46543.0</v>
      </c>
      <c r="J3" s="14">
        <v>5000000.0</v>
      </c>
      <c r="K3" s="14">
        <v>5000000.0</v>
      </c>
      <c r="L3" s="9" t="s">
        <v>45</v>
      </c>
      <c r="M3" s="14">
        <v>5000000.0</v>
      </c>
      <c r="N3" s="8" t="s">
        <v>412</v>
      </c>
      <c r="O3" s="21"/>
      <c r="P3" s="13">
        <v>45999.0</v>
      </c>
    </row>
    <row r="4">
      <c r="A4" s="8">
        <v>2025.0</v>
      </c>
      <c r="B4" s="9" t="s">
        <v>413</v>
      </c>
      <c r="C4" s="8" t="s">
        <v>222</v>
      </c>
      <c r="D4" s="8" t="s">
        <v>414</v>
      </c>
      <c r="E4" s="8" t="s">
        <v>415</v>
      </c>
      <c r="F4" s="8" t="s">
        <v>56</v>
      </c>
      <c r="G4" s="8" t="s">
        <v>336</v>
      </c>
      <c r="H4" s="11">
        <v>46022.0</v>
      </c>
      <c r="I4" s="13">
        <v>46399.0</v>
      </c>
      <c r="J4" s="14">
        <v>5000000.0</v>
      </c>
      <c r="K4" s="14">
        <v>5000000.0</v>
      </c>
      <c r="L4" s="9" t="s">
        <v>45</v>
      </c>
      <c r="M4" s="14">
        <v>5000000.0</v>
      </c>
      <c r="N4" s="8" t="s">
        <v>412</v>
      </c>
      <c r="O4" s="21"/>
      <c r="P4" s="13">
        <v>46022.0</v>
      </c>
    </row>
    <row r="5">
      <c r="A5" s="8">
        <v>2025.0</v>
      </c>
      <c r="B5" s="9" t="s">
        <v>416</v>
      </c>
      <c r="C5" s="8" t="s">
        <v>222</v>
      </c>
      <c r="D5" s="8" t="s">
        <v>417</v>
      </c>
      <c r="E5" s="8" t="s">
        <v>418</v>
      </c>
      <c r="F5" s="8" t="s">
        <v>56</v>
      </c>
      <c r="G5" s="8" t="s">
        <v>336</v>
      </c>
      <c r="H5" s="13">
        <v>45965.0</v>
      </c>
      <c r="I5" s="13">
        <v>46507.0</v>
      </c>
      <c r="J5" s="14">
        <v>4002240.0</v>
      </c>
      <c r="K5" s="14">
        <v>4002240.0</v>
      </c>
      <c r="L5" s="9" t="s">
        <v>45</v>
      </c>
      <c r="M5" s="14">
        <v>3500000.0</v>
      </c>
      <c r="N5" s="8" t="s">
        <v>412</v>
      </c>
      <c r="O5" s="9" t="s">
        <v>419</v>
      </c>
      <c r="P5" s="13"/>
    </row>
    <row r="6">
      <c r="A6" s="8">
        <v>2025.0</v>
      </c>
      <c r="B6" s="9" t="s">
        <v>420</v>
      </c>
      <c r="C6" s="8" t="s">
        <v>68</v>
      </c>
      <c r="D6" s="8" t="s">
        <v>421</v>
      </c>
      <c r="E6" s="8" t="s">
        <v>422</v>
      </c>
      <c r="F6" s="8" t="s">
        <v>56</v>
      </c>
      <c r="G6" s="8" t="s">
        <v>336</v>
      </c>
      <c r="H6" s="11">
        <v>46003.0</v>
      </c>
      <c r="I6" s="11">
        <v>46368.0</v>
      </c>
      <c r="J6" s="14">
        <v>1.25E7</v>
      </c>
      <c r="K6" s="14">
        <v>1.25E7</v>
      </c>
      <c r="L6" s="9" t="s">
        <v>45</v>
      </c>
      <c r="M6" s="14">
        <v>1.25E7</v>
      </c>
      <c r="N6" s="8" t="s">
        <v>412</v>
      </c>
      <c r="O6" s="21"/>
      <c r="P6" s="13">
        <v>46086.0</v>
      </c>
    </row>
  </sheetData>
  <autoFilter ref="$A$2:$O$6"/>
  <mergeCells count="2">
    <mergeCell ref="A1:K1"/>
    <mergeCell ref="L1:M1"/>
  </mergeCells>
  <conditionalFormatting sqref="A3:A6">
    <cfRule type="containsText" dxfId="2" priority="1" operator="containsText" text="2025">
      <formula>NOT(ISERROR(SEARCH(("2025"),(A3))))</formula>
    </cfRule>
  </conditionalFormatting>
  <conditionalFormatting sqref="A3:A6">
    <cfRule type="containsText" dxfId="7" priority="2" operator="containsText" text="2026">
      <formula>NOT(ISERROR(SEARCH(("2026"),(A3))))</formula>
    </cfRule>
  </conditionalFormatting>
  <conditionalFormatting sqref="A3:A6">
    <cfRule type="containsText" dxfId="8" priority="3" operator="containsText" text="2024">
      <formula>NOT(ISERROR(SEARCH(("2024"),(A3))))</formula>
    </cfRule>
  </conditionalFormatting>
  <conditionalFormatting sqref="L3:L6">
    <cfRule type="containsText" dxfId="5" priority="4" operator="containsText" text="SIM">
      <formula>NOT(ISERROR(SEARCH(("SIM"),(L3))))</formula>
    </cfRule>
  </conditionalFormatting>
  <conditionalFormatting sqref="L3:L6">
    <cfRule type="containsText" dxfId="6" priority="5" operator="containsText" text="NÃO">
      <formula>NOT(ISERROR(SEARCH(("NÃO"),(L3))))</formula>
    </cfRule>
  </conditionalFormatting>
  <conditionalFormatting sqref="N3:N6">
    <cfRule type="containsText" dxfId="5" priority="6" operator="containsText" text="SIM">
      <formula>NOT(ISERROR(SEARCH(("SIM"),(N3))))</formula>
    </cfRule>
  </conditionalFormatting>
  <conditionalFormatting sqref="N3:N6">
    <cfRule type="containsText" dxfId="6" priority="7" operator="containsText" text="NÃO">
      <formula>NOT(ISERROR(SEARCH(("NÃO"),(N3))))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40.0"/>
    <col customWidth="1" min="3" max="3" width="10.0"/>
    <col customWidth="1" min="4" max="4" width="20.11"/>
    <col customWidth="1" min="6" max="6" width="17.33"/>
    <col customWidth="1" min="7" max="7" width="10.0"/>
    <col customWidth="1" min="8" max="8" width="13.67"/>
    <col customWidth="1" min="9" max="9" width="12.78"/>
    <col customWidth="1" min="10" max="10" width="13.11"/>
    <col customWidth="1" min="12" max="12" width="13.44"/>
    <col customWidth="1" min="13" max="14" width="15.33"/>
    <col customWidth="1" min="15" max="15" width="30.22"/>
  </cols>
  <sheetData>
    <row r="1">
      <c r="A1" s="61" t="s">
        <v>0</v>
      </c>
      <c r="B1" s="2"/>
      <c r="C1" s="2"/>
      <c r="D1" s="2"/>
      <c r="E1" s="2"/>
      <c r="F1" s="2"/>
      <c r="G1" s="2"/>
      <c r="H1" s="2"/>
      <c r="I1" s="2"/>
      <c r="J1" s="3"/>
      <c r="K1" s="61" t="s">
        <v>1</v>
      </c>
      <c r="L1" s="3"/>
      <c r="M1" s="61" t="s">
        <v>2</v>
      </c>
      <c r="N1" s="3"/>
      <c r="O1" s="62" t="s">
        <v>3</v>
      </c>
    </row>
    <row r="2">
      <c r="A2" s="63" t="s">
        <v>5</v>
      </c>
      <c r="B2" s="63" t="s">
        <v>6</v>
      </c>
      <c r="C2" s="63" t="s">
        <v>7</v>
      </c>
      <c r="D2" s="63" t="s">
        <v>8</v>
      </c>
      <c r="E2" s="63" t="s">
        <v>9</v>
      </c>
      <c r="F2" s="63" t="s">
        <v>10</v>
      </c>
      <c r="G2" s="63" t="s">
        <v>13</v>
      </c>
      <c r="H2" s="63" t="s">
        <v>15</v>
      </c>
      <c r="I2" s="63" t="s">
        <v>18</v>
      </c>
      <c r="J2" s="63" t="s">
        <v>19</v>
      </c>
      <c r="K2" s="63" t="s">
        <v>21</v>
      </c>
      <c r="L2" s="63" t="s">
        <v>22</v>
      </c>
      <c r="M2" s="63" t="s">
        <v>23</v>
      </c>
      <c r="N2" s="63" t="s">
        <v>24</v>
      </c>
      <c r="O2" s="63" t="s">
        <v>25</v>
      </c>
    </row>
    <row r="3">
      <c r="A3" s="66">
        <v>2025.0</v>
      </c>
      <c r="B3" s="67" t="s">
        <v>426</v>
      </c>
      <c r="C3" s="66" t="s">
        <v>102</v>
      </c>
      <c r="D3" s="66" t="s">
        <v>319</v>
      </c>
      <c r="E3" s="66" t="s">
        <v>320</v>
      </c>
      <c r="F3" s="66" t="s">
        <v>321</v>
      </c>
      <c r="G3" s="66" t="s">
        <v>56</v>
      </c>
      <c r="H3" s="67" t="s">
        <v>73</v>
      </c>
      <c r="I3" s="68">
        <v>2600000.0</v>
      </c>
      <c r="J3" s="68">
        <v>2630400.0</v>
      </c>
      <c r="K3" s="70" t="s">
        <v>45</v>
      </c>
      <c r="L3" s="68">
        <v>2630400.0</v>
      </c>
      <c r="M3" s="70" t="s">
        <v>45</v>
      </c>
      <c r="N3" s="71" t="s">
        <v>46</v>
      </c>
      <c r="O3" s="72"/>
    </row>
    <row r="4">
      <c r="A4" s="66">
        <v>2025.0</v>
      </c>
      <c r="B4" s="67" t="s">
        <v>428</v>
      </c>
      <c r="C4" s="66" t="s">
        <v>102</v>
      </c>
      <c r="D4" s="66" t="s">
        <v>306</v>
      </c>
      <c r="E4" s="66" t="s">
        <v>339</v>
      </c>
      <c r="F4" s="66" t="s">
        <v>340</v>
      </c>
      <c r="G4" s="66" t="s">
        <v>56</v>
      </c>
      <c r="H4" s="67" t="s">
        <v>341</v>
      </c>
      <c r="I4" s="68">
        <v>1500000.0</v>
      </c>
      <c r="J4" s="68">
        <v>1502000.0</v>
      </c>
      <c r="K4" s="70" t="s">
        <v>45</v>
      </c>
      <c r="L4" s="68">
        <v>1500000.0</v>
      </c>
      <c r="M4" s="70" t="s">
        <v>45</v>
      </c>
      <c r="N4" s="71" t="s">
        <v>46</v>
      </c>
      <c r="O4" s="72"/>
    </row>
    <row r="5">
      <c r="A5" s="66">
        <v>2025.0</v>
      </c>
      <c r="B5" s="67" t="s">
        <v>352</v>
      </c>
      <c r="C5" s="66" t="s">
        <v>32</v>
      </c>
      <c r="D5" s="66" t="s">
        <v>353</v>
      </c>
      <c r="E5" s="66" t="s">
        <v>354</v>
      </c>
      <c r="F5" s="66" t="s">
        <v>355</v>
      </c>
      <c r="G5" s="66" t="s">
        <v>39</v>
      </c>
      <c r="H5" s="67" t="s">
        <v>42</v>
      </c>
      <c r="I5" s="68">
        <v>500000.0</v>
      </c>
      <c r="J5" s="68">
        <v>500000.0</v>
      </c>
      <c r="K5" s="70" t="s">
        <v>45</v>
      </c>
      <c r="L5" s="68">
        <v>500000.0</v>
      </c>
      <c r="M5" s="70" t="s">
        <v>45</v>
      </c>
      <c r="N5" s="71" t="s">
        <v>46</v>
      </c>
      <c r="O5" s="72"/>
    </row>
    <row r="6">
      <c r="A6" s="66">
        <v>2025.0</v>
      </c>
      <c r="B6" s="67" t="s">
        <v>50</v>
      </c>
      <c r="C6" s="66" t="s">
        <v>51</v>
      </c>
      <c r="D6" s="66" t="s">
        <v>52</v>
      </c>
      <c r="E6" s="66" t="s">
        <v>53</v>
      </c>
      <c r="F6" s="66" t="s">
        <v>54</v>
      </c>
      <c r="G6" s="66" t="s">
        <v>56</v>
      </c>
      <c r="H6" s="67" t="s">
        <v>57</v>
      </c>
      <c r="I6" s="75">
        <v>5000000.0</v>
      </c>
      <c r="J6" s="75">
        <v>5000000.0</v>
      </c>
      <c r="K6" s="70" t="s">
        <v>45</v>
      </c>
      <c r="L6" s="75">
        <v>5000000.0</v>
      </c>
      <c r="M6" s="71" t="s">
        <v>46</v>
      </c>
      <c r="N6" s="71" t="s">
        <v>46</v>
      </c>
      <c r="O6" s="72"/>
    </row>
    <row r="7">
      <c r="A7" s="66">
        <v>2025.0</v>
      </c>
      <c r="B7" s="67" t="s">
        <v>67</v>
      </c>
      <c r="C7" s="66" t="s">
        <v>68</v>
      </c>
      <c r="D7" s="66" t="s">
        <v>69</v>
      </c>
      <c r="E7" s="66" t="s">
        <v>70</v>
      </c>
      <c r="F7" s="66" t="s">
        <v>71</v>
      </c>
      <c r="G7" s="66" t="s">
        <v>56</v>
      </c>
      <c r="H7" s="67" t="s">
        <v>73</v>
      </c>
      <c r="I7" s="75">
        <v>330000.0</v>
      </c>
      <c r="J7" s="75">
        <v>330000.0</v>
      </c>
      <c r="K7" s="70" t="s">
        <v>45</v>
      </c>
      <c r="L7" s="75">
        <v>330000.0</v>
      </c>
      <c r="M7" s="71" t="s">
        <v>46</v>
      </c>
      <c r="N7" s="71" t="s">
        <v>46</v>
      </c>
      <c r="O7" s="72"/>
    </row>
    <row r="8">
      <c r="A8" s="66">
        <v>2025.0</v>
      </c>
      <c r="B8" s="67" t="s">
        <v>78</v>
      </c>
      <c r="C8" s="66" t="s">
        <v>80</v>
      </c>
      <c r="D8" s="66" t="s">
        <v>81</v>
      </c>
      <c r="E8" s="66" t="s">
        <v>83</v>
      </c>
      <c r="F8" s="66" t="s">
        <v>84</v>
      </c>
      <c r="G8" s="66" t="s">
        <v>56</v>
      </c>
      <c r="H8" s="67" t="s">
        <v>88</v>
      </c>
      <c r="I8" s="75">
        <v>4000000.0</v>
      </c>
      <c r="J8" s="75">
        <v>4000000.0</v>
      </c>
      <c r="K8" s="70" t="s">
        <v>45</v>
      </c>
      <c r="L8" s="75">
        <v>4000000.0</v>
      </c>
      <c r="M8" s="71" t="s">
        <v>46</v>
      </c>
      <c r="N8" s="71" t="s">
        <v>46</v>
      </c>
      <c r="O8" s="72"/>
    </row>
    <row r="9">
      <c r="A9" s="66">
        <v>2025.0</v>
      </c>
      <c r="B9" s="67" t="s">
        <v>94</v>
      </c>
      <c r="C9" s="66" t="s">
        <v>68</v>
      </c>
      <c r="D9" s="66" t="s">
        <v>95</v>
      </c>
      <c r="E9" s="66" t="s">
        <v>433</v>
      </c>
      <c r="F9" s="66" t="s">
        <v>97</v>
      </c>
      <c r="G9" s="66" t="s">
        <v>56</v>
      </c>
      <c r="H9" s="67" t="s">
        <v>73</v>
      </c>
      <c r="I9" s="75">
        <v>500000.0</v>
      </c>
      <c r="J9" s="75">
        <v>500000.0</v>
      </c>
      <c r="K9" s="70" t="s">
        <v>45</v>
      </c>
      <c r="L9" s="75">
        <v>500000.0</v>
      </c>
      <c r="M9" s="71" t="s">
        <v>46</v>
      </c>
      <c r="N9" s="71" t="s">
        <v>46</v>
      </c>
      <c r="O9" s="72"/>
    </row>
    <row r="10">
      <c r="A10" s="66">
        <v>2025.0</v>
      </c>
      <c r="B10" s="67" t="s">
        <v>124</v>
      </c>
      <c r="C10" s="66" t="s">
        <v>80</v>
      </c>
      <c r="D10" s="66" t="s">
        <v>127</v>
      </c>
      <c r="E10" s="66" t="s">
        <v>129</v>
      </c>
      <c r="F10" s="66" t="s">
        <v>130</v>
      </c>
      <c r="G10" s="66" t="s">
        <v>56</v>
      </c>
      <c r="H10" s="67" t="s">
        <v>133</v>
      </c>
      <c r="I10" s="75">
        <v>450000.0</v>
      </c>
      <c r="J10" s="75">
        <v>450000.0</v>
      </c>
      <c r="K10" s="70" t="s">
        <v>45</v>
      </c>
      <c r="L10" s="75">
        <v>450000.0</v>
      </c>
      <c r="M10" s="71" t="s">
        <v>46</v>
      </c>
      <c r="N10" s="71" t="s">
        <v>46</v>
      </c>
      <c r="O10" s="72"/>
    </row>
    <row r="11">
      <c r="A11" s="66">
        <v>2025.0</v>
      </c>
      <c r="B11" s="67" t="s">
        <v>137</v>
      </c>
      <c r="C11" s="66" t="s">
        <v>80</v>
      </c>
      <c r="D11" s="66" t="s">
        <v>138</v>
      </c>
      <c r="E11" s="66" t="s">
        <v>139</v>
      </c>
      <c r="F11" s="66" t="s">
        <v>140</v>
      </c>
      <c r="G11" s="66" t="s">
        <v>56</v>
      </c>
      <c r="H11" s="67" t="s">
        <v>144</v>
      </c>
      <c r="I11" s="75">
        <v>400000.0</v>
      </c>
      <c r="J11" s="75">
        <v>400000.0</v>
      </c>
      <c r="K11" s="70" t="s">
        <v>45</v>
      </c>
      <c r="L11" s="75">
        <v>400000.0</v>
      </c>
      <c r="M11" s="71" t="s">
        <v>46</v>
      </c>
      <c r="N11" s="71" t="s">
        <v>46</v>
      </c>
      <c r="O11" s="72"/>
    </row>
  </sheetData>
  <mergeCells count="3">
    <mergeCell ref="A1:J1"/>
    <mergeCell ref="K1:L1"/>
    <mergeCell ref="M1:N1"/>
  </mergeCells>
  <conditionalFormatting sqref="K3:N11">
    <cfRule type="containsText" dxfId="5" priority="1" operator="containsText" text="SIM">
      <formula>NOT(ISERROR(SEARCH(("SIM"),(K3))))</formula>
    </cfRule>
  </conditionalFormatting>
  <conditionalFormatting sqref="K3:N11">
    <cfRule type="containsText" dxfId="6" priority="2" operator="containsText" text="NÃO">
      <formula>NOT(ISERROR(SEARCH(("NÃO"),(K3))))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39.89"/>
    <col customWidth="1" min="3" max="3" width="14.0"/>
    <col customWidth="1" min="4" max="4" width="19.44"/>
    <col customWidth="1" min="5" max="5" width="19.0"/>
    <col customWidth="1" min="6" max="7" width="15.22"/>
    <col customWidth="1" min="8" max="8" width="15.78"/>
    <col customWidth="1" min="9" max="9" width="15.22"/>
    <col customWidth="1" min="10" max="10" width="15.44"/>
    <col customWidth="1" min="11" max="11" width="14.33"/>
    <col customWidth="1" min="12" max="12" width="12.33"/>
    <col customWidth="1" min="13" max="14" width="15.11"/>
    <col customWidth="1" min="19" max="19" width="36.44"/>
    <col customWidth="1" min="20" max="20" width="15.89"/>
  </cols>
  <sheetData>
    <row r="1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13</v>
      </c>
      <c r="G1" s="5" t="s">
        <v>18</v>
      </c>
      <c r="H1" s="5" t="s">
        <v>423</v>
      </c>
      <c r="I1" s="5" t="s">
        <v>424</v>
      </c>
      <c r="J1" s="5" t="s">
        <v>21</v>
      </c>
      <c r="K1" s="5" t="s">
        <v>22</v>
      </c>
      <c r="L1" s="5" t="s">
        <v>425</v>
      </c>
      <c r="M1" s="5" t="s">
        <v>23</v>
      </c>
      <c r="N1" s="5" t="s">
        <v>24</v>
      </c>
    </row>
    <row r="2">
      <c r="A2" s="9" t="s">
        <v>123</v>
      </c>
      <c r="B2" s="8" t="s">
        <v>32</v>
      </c>
      <c r="C2" s="8" t="s">
        <v>125</v>
      </c>
      <c r="D2" s="8" t="s">
        <v>126</v>
      </c>
      <c r="E2" s="8" t="s">
        <v>128</v>
      </c>
      <c r="F2" s="8" t="s">
        <v>56</v>
      </c>
      <c r="G2" s="15">
        <v>450000.0</v>
      </c>
      <c r="H2" s="15">
        <v>455000.0</v>
      </c>
      <c r="I2" s="15">
        <v>450000.0</v>
      </c>
      <c r="J2" s="21" t="s">
        <v>46</v>
      </c>
      <c r="K2" s="15"/>
      <c r="L2" s="64">
        <f t="shared" ref="L2:L25" si="1">IFERROR(K2/I2,"")</f>
        <v>0</v>
      </c>
      <c r="M2" s="9" t="s">
        <v>46</v>
      </c>
      <c r="N2" s="9" t="s">
        <v>46</v>
      </c>
      <c r="T2" s="65"/>
    </row>
    <row r="3">
      <c r="A3" s="9" t="s">
        <v>146</v>
      </c>
      <c r="B3" s="8" t="s">
        <v>147</v>
      </c>
      <c r="C3" s="8" t="s">
        <v>148</v>
      </c>
      <c r="D3" s="8" t="s">
        <v>149</v>
      </c>
      <c r="E3" s="8" t="s">
        <v>150</v>
      </c>
      <c r="F3" s="8" t="s">
        <v>56</v>
      </c>
      <c r="G3" s="15">
        <v>450000.0</v>
      </c>
      <c r="H3" s="15">
        <v>455377.26</v>
      </c>
      <c r="I3" s="15">
        <v>450000.0</v>
      </c>
      <c r="J3" s="21" t="s">
        <v>46</v>
      </c>
      <c r="K3" s="15"/>
      <c r="L3" s="64">
        <f t="shared" si="1"/>
        <v>0</v>
      </c>
      <c r="M3" s="21" t="s">
        <v>46</v>
      </c>
      <c r="N3" s="9" t="s">
        <v>46</v>
      </c>
      <c r="S3" s="69" t="s">
        <v>427</v>
      </c>
      <c r="T3" s="2"/>
      <c r="U3" s="3"/>
    </row>
    <row r="4">
      <c r="A4" s="9" t="s">
        <v>159</v>
      </c>
      <c r="B4" s="8" t="s">
        <v>32</v>
      </c>
      <c r="C4" s="8" t="s">
        <v>161</v>
      </c>
      <c r="D4" s="8" t="s">
        <v>163</v>
      </c>
      <c r="E4" s="8" t="s">
        <v>164</v>
      </c>
      <c r="F4" s="8" t="s">
        <v>56</v>
      </c>
      <c r="G4" s="15">
        <v>2994000.0</v>
      </c>
      <c r="H4" s="15">
        <v>3000000.0</v>
      </c>
      <c r="I4" s="15">
        <v>2994000.0</v>
      </c>
      <c r="J4" s="21" t="s">
        <v>46</v>
      </c>
      <c r="K4" s="15"/>
      <c r="L4" s="64">
        <f t="shared" si="1"/>
        <v>0</v>
      </c>
      <c r="M4" s="9" t="s">
        <v>45</v>
      </c>
      <c r="N4" s="9" t="s">
        <v>45</v>
      </c>
      <c r="S4" s="17"/>
      <c r="T4" s="73" t="s">
        <v>429</v>
      </c>
      <c r="U4" s="73" t="s">
        <v>430</v>
      </c>
    </row>
    <row r="5">
      <c r="A5" s="9" t="s">
        <v>170</v>
      </c>
      <c r="B5" s="8" t="s">
        <v>171</v>
      </c>
      <c r="C5" s="8" t="s">
        <v>172</v>
      </c>
      <c r="D5" s="8" t="s">
        <v>174</v>
      </c>
      <c r="E5" s="8" t="s">
        <v>175</v>
      </c>
      <c r="F5" s="8" t="s">
        <v>56</v>
      </c>
      <c r="G5" s="15">
        <v>990000.0</v>
      </c>
      <c r="H5" s="15">
        <v>1000000.0</v>
      </c>
      <c r="I5" s="15">
        <v>1000000.0</v>
      </c>
      <c r="J5" s="21" t="s">
        <v>46</v>
      </c>
      <c r="K5" s="15"/>
      <c r="L5" s="64">
        <f t="shared" si="1"/>
        <v>0</v>
      </c>
      <c r="M5" s="9" t="s">
        <v>45</v>
      </c>
      <c r="N5" s="9" t="s">
        <v>45</v>
      </c>
      <c r="S5" s="74" t="s">
        <v>431</v>
      </c>
      <c r="T5" s="76">
        <f>COUNTA(A2:A25)</f>
        <v>24</v>
      </c>
      <c r="U5" s="77">
        <f>100%</f>
        <v>1</v>
      </c>
    </row>
    <row r="6">
      <c r="A6" s="9" t="s">
        <v>190</v>
      </c>
      <c r="B6" s="8" t="s">
        <v>80</v>
      </c>
      <c r="C6" s="8" t="s">
        <v>193</v>
      </c>
      <c r="D6" s="8" t="s">
        <v>195</v>
      </c>
      <c r="E6" s="8" t="s">
        <v>197</v>
      </c>
      <c r="F6" s="8" t="s">
        <v>56</v>
      </c>
      <c r="G6" s="15">
        <v>700000.0</v>
      </c>
      <c r="H6" s="15">
        <v>707000.0</v>
      </c>
      <c r="I6" s="15">
        <v>700000.0</v>
      </c>
      <c r="J6" s="21" t="s">
        <v>46</v>
      </c>
      <c r="K6" s="15"/>
      <c r="L6" s="64">
        <f t="shared" si="1"/>
        <v>0</v>
      </c>
      <c r="M6" s="9" t="s">
        <v>45</v>
      </c>
      <c r="N6" s="9" t="s">
        <v>45</v>
      </c>
      <c r="S6" s="74" t="s">
        <v>438</v>
      </c>
      <c r="T6" s="76">
        <f>COUNTIF(M2:M25, "SIM")</f>
        <v>19</v>
      </c>
      <c r="U6" s="77">
        <f>COUNTIF(M2:M25, "SIM") / COUNTA(M2:M25)</f>
        <v>0.7916666667</v>
      </c>
    </row>
    <row r="7">
      <c r="A7" s="9" t="s">
        <v>211</v>
      </c>
      <c r="B7" s="8" t="s">
        <v>82</v>
      </c>
      <c r="C7" s="8" t="s">
        <v>212</v>
      </c>
      <c r="D7" s="8" t="s">
        <v>213</v>
      </c>
      <c r="E7" s="8" t="s">
        <v>214</v>
      </c>
      <c r="F7" s="8" t="s">
        <v>56</v>
      </c>
      <c r="G7" s="15">
        <v>1300000.0</v>
      </c>
      <c r="H7" s="15">
        <v>1301400.0</v>
      </c>
      <c r="I7" s="15">
        <v>1300000.0</v>
      </c>
      <c r="J7" s="21" t="s">
        <v>46</v>
      </c>
      <c r="K7" s="15"/>
      <c r="L7" s="64">
        <f t="shared" si="1"/>
        <v>0</v>
      </c>
      <c r="M7" s="21" t="s">
        <v>46</v>
      </c>
      <c r="N7" s="21" t="s">
        <v>46</v>
      </c>
      <c r="S7" s="74" t="s">
        <v>440</v>
      </c>
      <c r="T7" s="76">
        <f>COUNTIF(M2:M25, "NÃO")</f>
        <v>5</v>
      </c>
      <c r="U7" s="77">
        <f>COUNTIF(M2:M25, "NÃO") / COUNTA(M2:M25)</f>
        <v>0.2083333333</v>
      </c>
    </row>
    <row r="8">
      <c r="A8" s="9" t="s">
        <v>221</v>
      </c>
      <c r="B8" s="8" t="s">
        <v>222</v>
      </c>
      <c r="C8" s="8" t="s">
        <v>223</v>
      </c>
      <c r="D8" s="8" t="s">
        <v>224</v>
      </c>
      <c r="E8" s="8" t="s">
        <v>225</v>
      </c>
      <c r="F8" s="8" t="s">
        <v>56</v>
      </c>
      <c r="G8" s="15">
        <v>500000.0</v>
      </c>
      <c r="H8" s="15">
        <v>505000.0</v>
      </c>
      <c r="I8" s="15">
        <v>500000.0</v>
      </c>
      <c r="J8" s="21" t="s">
        <v>46</v>
      </c>
      <c r="K8" s="15"/>
      <c r="L8" s="64">
        <f t="shared" si="1"/>
        <v>0</v>
      </c>
      <c r="M8" s="9" t="s">
        <v>45</v>
      </c>
      <c r="N8" s="9" t="s">
        <v>45</v>
      </c>
      <c r="S8" s="74" t="s">
        <v>444</v>
      </c>
      <c r="T8" s="76">
        <f>COUNTIF(N2:N25, "SIM")</f>
        <v>19</v>
      </c>
      <c r="U8" s="77">
        <f>COUNTIF(N2:N25, "SIM") / COUNTA(N2:N25)</f>
        <v>0.7916666667</v>
      </c>
    </row>
    <row r="9">
      <c r="A9" s="9" t="s">
        <v>231</v>
      </c>
      <c r="B9" s="8" t="s">
        <v>232</v>
      </c>
      <c r="C9" s="8" t="s">
        <v>233</v>
      </c>
      <c r="D9" s="8" t="s">
        <v>234</v>
      </c>
      <c r="E9" s="8" t="s">
        <v>235</v>
      </c>
      <c r="F9" s="8" t="s">
        <v>56</v>
      </c>
      <c r="G9" s="15">
        <v>500000.0</v>
      </c>
      <c r="H9" s="15">
        <v>500500.5</v>
      </c>
      <c r="I9" s="15">
        <v>500000.0</v>
      </c>
      <c r="J9" s="21" t="s">
        <v>46</v>
      </c>
      <c r="K9" s="15"/>
      <c r="L9" s="64">
        <f t="shared" si="1"/>
        <v>0</v>
      </c>
      <c r="M9" s="9" t="s">
        <v>45</v>
      </c>
      <c r="N9" s="9" t="s">
        <v>45</v>
      </c>
      <c r="S9" s="74" t="s">
        <v>446</v>
      </c>
      <c r="T9" s="76">
        <f>COUNTIF(N2:N24, "NÃO")</f>
        <v>5</v>
      </c>
      <c r="U9" s="77">
        <f>COUNTIF(N2:N25, "NÃO") / COUNTA(N2:N25)</f>
        <v>0.2083333333</v>
      </c>
    </row>
    <row r="10">
      <c r="A10" s="9" t="s">
        <v>241</v>
      </c>
      <c r="B10" s="8" t="s">
        <v>80</v>
      </c>
      <c r="C10" s="8" t="s">
        <v>242</v>
      </c>
      <c r="D10" s="8" t="s">
        <v>243</v>
      </c>
      <c r="E10" s="8" t="s">
        <v>244</v>
      </c>
      <c r="F10" s="8" t="s">
        <v>56</v>
      </c>
      <c r="G10" s="15">
        <v>1259150.0</v>
      </c>
      <c r="H10" s="15">
        <v>1260750.0</v>
      </c>
      <c r="I10" s="15">
        <v>1450000.0</v>
      </c>
      <c r="J10" s="21" t="s">
        <v>46</v>
      </c>
      <c r="K10" s="15"/>
      <c r="L10" s="64">
        <f t="shared" si="1"/>
        <v>0</v>
      </c>
      <c r="M10" s="9" t="s">
        <v>45</v>
      </c>
      <c r="N10" s="9" t="s">
        <v>45</v>
      </c>
      <c r="S10" s="74" t="s">
        <v>448</v>
      </c>
      <c r="T10" s="79">
        <f>SUM(I2:I25)</f>
        <v>31514000</v>
      </c>
      <c r="U10" s="77">
        <f>100%</f>
        <v>1</v>
      </c>
    </row>
    <row r="11">
      <c r="A11" s="9" t="s">
        <v>250</v>
      </c>
      <c r="B11" s="8" t="s">
        <v>251</v>
      </c>
      <c r="C11" s="8" t="s">
        <v>252</v>
      </c>
      <c r="D11" s="8" t="s">
        <v>253</v>
      </c>
      <c r="E11" s="8" t="s">
        <v>254</v>
      </c>
      <c r="F11" s="8" t="s">
        <v>56</v>
      </c>
      <c r="G11" s="15">
        <v>450000.0</v>
      </c>
      <c r="H11" s="15">
        <v>452000.0</v>
      </c>
      <c r="I11" s="15">
        <v>450000.0</v>
      </c>
      <c r="J11" s="21" t="s">
        <v>46</v>
      </c>
      <c r="K11" s="15"/>
      <c r="L11" s="64">
        <f t="shared" si="1"/>
        <v>0</v>
      </c>
      <c r="M11" s="9" t="s">
        <v>45</v>
      </c>
      <c r="N11" s="9" t="s">
        <v>45</v>
      </c>
      <c r="S11" s="74" t="s">
        <v>450</v>
      </c>
      <c r="T11" s="79">
        <f>SUM(K2:K25)</f>
        <v>4600000</v>
      </c>
      <c r="U11" s="77">
        <f>T11/T10</f>
        <v>0.1459668719</v>
      </c>
    </row>
    <row r="12">
      <c r="A12" s="9" t="s">
        <v>260</v>
      </c>
      <c r="B12" s="8" t="s">
        <v>32</v>
      </c>
      <c r="C12" s="8" t="s">
        <v>261</v>
      </c>
      <c r="D12" s="8" t="s">
        <v>262</v>
      </c>
      <c r="E12" s="8" t="s">
        <v>263</v>
      </c>
      <c r="F12" s="8" t="s">
        <v>56</v>
      </c>
      <c r="G12" s="15">
        <v>400000.0</v>
      </c>
      <c r="H12" s="15">
        <v>401000.0</v>
      </c>
      <c r="I12" s="15">
        <v>400000.0</v>
      </c>
      <c r="J12" s="21" t="s">
        <v>46</v>
      </c>
      <c r="K12" s="15"/>
      <c r="L12" s="64">
        <f t="shared" si="1"/>
        <v>0</v>
      </c>
      <c r="M12" s="9" t="s">
        <v>45</v>
      </c>
      <c r="N12" s="9" t="s">
        <v>45</v>
      </c>
      <c r="S12" s="74" t="s">
        <v>451</v>
      </c>
      <c r="T12" s="79">
        <f>T10-T11</f>
        <v>26914000</v>
      </c>
      <c r="U12" s="77">
        <f>T12/T10</f>
        <v>0.8540331281</v>
      </c>
    </row>
    <row r="13">
      <c r="A13" s="9" t="s">
        <v>270</v>
      </c>
      <c r="B13" s="8" t="s">
        <v>80</v>
      </c>
      <c r="C13" s="8" t="s">
        <v>271</v>
      </c>
      <c r="D13" s="8" t="s">
        <v>272</v>
      </c>
      <c r="E13" s="8" t="s">
        <v>273</v>
      </c>
      <c r="F13" s="8" t="s">
        <v>56</v>
      </c>
      <c r="G13" s="15">
        <v>800000.0</v>
      </c>
      <c r="H13" s="15">
        <v>808000.0</v>
      </c>
      <c r="I13" s="15">
        <v>800000.0</v>
      </c>
      <c r="J13" s="21" t="s">
        <v>46</v>
      </c>
      <c r="K13" s="15"/>
      <c r="L13" s="64">
        <f t="shared" si="1"/>
        <v>0</v>
      </c>
      <c r="M13" s="21" t="s">
        <v>46</v>
      </c>
      <c r="N13" s="21" t="s">
        <v>46</v>
      </c>
    </row>
    <row r="14">
      <c r="A14" s="9" t="s">
        <v>267</v>
      </c>
      <c r="B14" s="8" t="s">
        <v>82</v>
      </c>
      <c r="C14" s="8" t="s">
        <v>266</v>
      </c>
      <c r="D14" s="8" t="s">
        <v>280</v>
      </c>
      <c r="E14" s="8" t="s">
        <v>281</v>
      </c>
      <c r="F14" s="8" t="s">
        <v>56</v>
      </c>
      <c r="G14" s="15">
        <v>450000.0</v>
      </c>
      <c r="H14" s="15">
        <v>451000.0</v>
      </c>
      <c r="I14" s="15">
        <v>450000.0</v>
      </c>
      <c r="J14" s="21" t="s">
        <v>46</v>
      </c>
      <c r="K14" s="15"/>
      <c r="L14" s="64">
        <f t="shared" si="1"/>
        <v>0</v>
      </c>
      <c r="M14" s="9" t="s">
        <v>45</v>
      </c>
      <c r="N14" s="9" t="s">
        <v>45</v>
      </c>
    </row>
    <row r="15">
      <c r="A15" s="9" t="s">
        <v>288</v>
      </c>
      <c r="B15" s="8" t="s">
        <v>110</v>
      </c>
      <c r="C15" s="8" t="s">
        <v>453</v>
      </c>
      <c r="D15" s="8" t="s">
        <v>291</v>
      </c>
      <c r="E15" s="8" t="s">
        <v>292</v>
      </c>
      <c r="F15" s="8" t="s">
        <v>56</v>
      </c>
      <c r="G15" s="15">
        <v>1500000.0</v>
      </c>
      <c r="H15" s="15">
        <v>1612903.23</v>
      </c>
      <c r="I15" s="15">
        <v>1500000.0</v>
      </c>
      <c r="J15" s="21" t="s">
        <v>46</v>
      </c>
      <c r="K15" s="15"/>
      <c r="L15" s="64">
        <f t="shared" si="1"/>
        <v>0</v>
      </c>
      <c r="M15" s="9" t="s">
        <v>45</v>
      </c>
      <c r="N15" s="9" t="s">
        <v>45</v>
      </c>
      <c r="S15" s="82" t="s">
        <v>455</v>
      </c>
      <c r="T15" s="2"/>
      <c r="U15" s="3"/>
    </row>
    <row r="16">
      <c r="A16" s="9" t="s">
        <v>288</v>
      </c>
      <c r="B16" s="8" t="s">
        <v>110</v>
      </c>
      <c r="C16" s="8" t="s">
        <v>456</v>
      </c>
      <c r="D16" s="8" t="s">
        <v>298</v>
      </c>
      <c r="E16" s="8" t="s">
        <v>299</v>
      </c>
      <c r="F16" s="8" t="s">
        <v>56</v>
      </c>
      <c r="G16" s="15">
        <v>450000.0</v>
      </c>
      <c r="H16" s="15">
        <v>451681.86</v>
      </c>
      <c r="I16" s="15">
        <v>450000.0</v>
      </c>
      <c r="J16" s="21" t="s">
        <v>46</v>
      </c>
      <c r="K16" s="15"/>
      <c r="L16" s="64">
        <f t="shared" si="1"/>
        <v>0</v>
      </c>
      <c r="M16" s="9" t="s">
        <v>45</v>
      </c>
      <c r="N16" s="9" t="s">
        <v>45</v>
      </c>
      <c r="S16" s="74"/>
      <c r="T16" s="73" t="s">
        <v>429</v>
      </c>
      <c r="U16" s="73" t="s">
        <v>430</v>
      </c>
    </row>
    <row r="17">
      <c r="A17" s="9" t="s">
        <v>308</v>
      </c>
      <c r="B17" s="8" t="s">
        <v>309</v>
      </c>
      <c r="C17" s="8" t="s">
        <v>310</v>
      </c>
      <c r="D17" s="8" t="s">
        <v>311</v>
      </c>
      <c r="E17" s="8" t="s">
        <v>312</v>
      </c>
      <c r="F17" s="8" t="s">
        <v>56</v>
      </c>
      <c r="G17" s="15">
        <v>370000.0</v>
      </c>
      <c r="H17" s="15">
        <v>379820.0</v>
      </c>
      <c r="I17" s="15">
        <v>370000.0</v>
      </c>
      <c r="J17" s="21" t="s">
        <v>46</v>
      </c>
      <c r="K17" s="15"/>
      <c r="L17" s="64">
        <f t="shared" si="1"/>
        <v>0</v>
      </c>
      <c r="M17" s="9" t="s">
        <v>45</v>
      </c>
      <c r="N17" s="9" t="s">
        <v>45</v>
      </c>
      <c r="S17" s="74" t="s">
        <v>457</v>
      </c>
      <c r="T17" s="76">
        <f>COUNTA(A29:A35)</f>
        <v>7</v>
      </c>
      <c r="U17" s="77">
        <f>100%</f>
        <v>1</v>
      </c>
    </row>
    <row r="18">
      <c r="A18" s="9" t="s">
        <v>284</v>
      </c>
      <c r="B18" s="8" t="s">
        <v>222</v>
      </c>
      <c r="C18" s="8" t="s">
        <v>283</v>
      </c>
      <c r="D18" s="8" t="s">
        <v>316</v>
      </c>
      <c r="E18" s="8" t="s">
        <v>317</v>
      </c>
      <c r="F18" s="8" t="s">
        <v>56</v>
      </c>
      <c r="G18" s="15">
        <v>500000.0</v>
      </c>
      <c r="H18" s="15">
        <v>505000.0</v>
      </c>
      <c r="I18" s="15">
        <v>500000.0</v>
      </c>
      <c r="J18" s="9" t="s">
        <v>46</v>
      </c>
      <c r="K18" s="15"/>
      <c r="L18" s="64">
        <f t="shared" si="1"/>
        <v>0</v>
      </c>
      <c r="M18" s="9" t="s">
        <v>45</v>
      </c>
      <c r="N18" s="9" t="s">
        <v>45</v>
      </c>
      <c r="S18" s="74" t="s">
        <v>459</v>
      </c>
      <c r="T18" s="76">
        <f>COUNTIF(M29:M35, "SIM")</f>
        <v>7</v>
      </c>
      <c r="U18" s="77">
        <f>COUNTIF(M29:M35, "SIM") / COUNTA(M29:M35)</f>
        <v>1</v>
      </c>
    </row>
    <row r="19">
      <c r="A19" s="9" t="s">
        <v>101</v>
      </c>
      <c r="B19" s="8" t="s">
        <v>102</v>
      </c>
      <c r="C19" s="8" t="s">
        <v>319</v>
      </c>
      <c r="D19" s="8" t="s">
        <v>320</v>
      </c>
      <c r="E19" s="8" t="s">
        <v>321</v>
      </c>
      <c r="F19" s="8" t="s">
        <v>56</v>
      </c>
      <c r="G19" s="15">
        <v>2600000.0</v>
      </c>
      <c r="H19" s="15">
        <v>2630400.0</v>
      </c>
      <c r="I19" s="15">
        <v>2600000.0</v>
      </c>
      <c r="J19" s="9" t="s">
        <v>45</v>
      </c>
      <c r="K19" s="15">
        <v>2600000.0</v>
      </c>
      <c r="L19" s="64">
        <f t="shared" si="1"/>
        <v>1</v>
      </c>
      <c r="M19" s="9" t="s">
        <v>45</v>
      </c>
      <c r="N19" s="9" t="s">
        <v>45</v>
      </c>
      <c r="S19" s="74" t="s">
        <v>461</v>
      </c>
      <c r="T19" s="76">
        <f>COUNTIF(M29:M35, "NÃO")</f>
        <v>0</v>
      </c>
      <c r="U19" s="77">
        <f>COUNTIF(M29:M35, "NÃO") / COUNTA(M29:M35)</f>
        <v>0</v>
      </c>
    </row>
    <row r="20">
      <c r="A20" s="9" t="s">
        <v>247</v>
      </c>
      <c r="B20" s="8" t="s">
        <v>251</v>
      </c>
      <c r="C20" s="8" t="s">
        <v>249</v>
      </c>
      <c r="D20" s="8" t="s">
        <v>323</v>
      </c>
      <c r="E20" s="8" t="s">
        <v>324</v>
      </c>
      <c r="F20" s="8" t="s">
        <v>56</v>
      </c>
      <c r="G20" s="15">
        <v>450000.0</v>
      </c>
      <c r="H20" s="15">
        <v>450500.0</v>
      </c>
      <c r="I20" s="15">
        <v>450000.0</v>
      </c>
      <c r="J20" s="21" t="s">
        <v>46</v>
      </c>
      <c r="K20" s="15"/>
      <c r="L20" s="64">
        <f t="shared" si="1"/>
        <v>0</v>
      </c>
      <c r="M20" s="9" t="s">
        <v>45</v>
      </c>
      <c r="N20" s="9" t="s">
        <v>45</v>
      </c>
      <c r="S20" s="74" t="s">
        <v>444</v>
      </c>
      <c r="T20" s="76">
        <f>COUNTIF(N29:N35, "SIM")</f>
        <v>7</v>
      </c>
      <c r="U20" s="77">
        <f>COUNTIF(N29:N35, "SIM") / COUNTA(N29:N35)</f>
        <v>1</v>
      </c>
    </row>
    <row r="21">
      <c r="A21" s="9" t="s">
        <v>289</v>
      </c>
      <c r="B21" s="8" t="s">
        <v>222</v>
      </c>
      <c r="C21" s="8" t="s">
        <v>287</v>
      </c>
      <c r="D21" s="8" t="s">
        <v>329</v>
      </c>
      <c r="E21" s="8" t="s">
        <v>330</v>
      </c>
      <c r="F21" s="8" t="s">
        <v>56</v>
      </c>
      <c r="G21" s="15">
        <v>500000.0</v>
      </c>
      <c r="H21" s="15">
        <v>505000.0</v>
      </c>
      <c r="I21" s="15">
        <v>500000.0</v>
      </c>
      <c r="J21" s="21" t="s">
        <v>46</v>
      </c>
      <c r="K21" s="15"/>
      <c r="L21" s="64">
        <f t="shared" si="1"/>
        <v>0</v>
      </c>
      <c r="M21" s="9" t="s">
        <v>45</v>
      </c>
      <c r="N21" s="9" t="s">
        <v>45</v>
      </c>
      <c r="S21" s="74" t="s">
        <v>446</v>
      </c>
      <c r="T21" s="76">
        <f>COUNTIF(N29:N35, "NÃO")</f>
        <v>0</v>
      </c>
      <c r="U21" s="77">
        <f>COUNTIF(N29:N35, "NÃO") / COUNTA(N29:N35)</f>
        <v>0</v>
      </c>
    </row>
    <row r="22">
      <c r="A22" s="9" t="s">
        <v>276</v>
      </c>
      <c r="B22" s="8" t="s">
        <v>222</v>
      </c>
      <c r="C22" s="8" t="s">
        <v>278</v>
      </c>
      <c r="D22" s="8" t="s">
        <v>333</v>
      </c>
      <c r="E22" s="8" t="s">
        <v>334</v>
      </c>
      <c r="F22" s="8" t="s">
        <v>56</v>
      </c>
      <c r="G22" s="15">
        <v>1.0E7</v>
      </c>
      <c r="H22" s="15">
        <v>1.003E7</v>
      </c>
      <c r="I22" s="15">
        <v>1.0E7</v>
      </c>
      <c r="J22" s="21" t="s">
        <v>46</v>
      </c>
      <c r="K22" s="15"/>
      <c r="L22" s="64">
        <f t="shared" si="1"/>
        <v>0</v>
      </c>
      <c r="M22" s="9" t="s">
        <v>45</v>
      </c>
      <c r="N22" s="9" t="s">
        <v>45</v>
      </c>
      <c r="S22" s="74" t="s">
        <v>448</v>
      </c>
      <c r="T22" s="79">
        <f>SUM(I29:I35)</f>
        <v>11130000</v>
      </c>
      <c r="U22" s="77">
        <f>100%</f>
        <v>1</v>
      </c>
    </row>
    <row r="23">
      <c r="A23" s="9" t="s">
        <v>428</v>
      </c>
      <c r="B23" s="8" t="s">
        <v>102</v>
      </c>
      <c r="C23" s="8" t="s">
        <v>306</v>
      </c>
      <c r="D23" s="8" t="s">
        <v>339</v>
      </c>
      <c r="E23" s="8" t="s">
        <v>340</v>
      </c>
      <c r="F23" s="8" t="s">
        <v>56</v>
      </c>
      <c r="G23" s="15">
        <v>1500000.0</v>
      </c>
      <c r="H23" s="15">
        <v>1502000.0</v>
      </c>
      <c r="I23" s="15">
        <v>1500000.0</v>
      </c>
      <c r="J23" s="9" t="s">
        <v>45</v>
      </c>
      <c r="K23" s="15">
        <v>1500000.0</v>
      </c>
      <c r="L23" s="64">
        <f t="shared" si="1"/>
        <v>1</v>
      </c>
      <c r="M23" s="9" t="s">
        <v>45</v>
      </c>
      <c r="N23" s="9" t="s">
        <v>45</v>
      </c>
      <c r="S23" s="74" t="s">
        <v>450</v>
      </c>
      <c r="T23" s="79">
        <f>SUM(K29:K35)</f>
        <v>10680000</v>
      </c>
      <c r="U23" s="77">
        <f>T23/T22</f>
        <v>0.9595687332</v>
      </c>
    </row>
    <row r="24">
      <c r="A24" s="52" t="s">
        <v>301</v>
      </c>
      <c r="B24" s="8" t="s">
        <v>345</v>
      </c>
      <c r="C24" s="8" t="s">
        <v>302</v>
      </c>
      <c r="D24" s="8" t="s">
        <v>346</v>
      </c>
      <c r="E24" s="8" t="s">
        <v>347</v>
      </c>
      <c r="F24" s="8" t="s">
        <v>56</v>
      </c>
      <c r="G24" s="15">
        <v>1700000.0</v>
      </c>
      <c r="H24" s="15">
        <v>1734000.0</v>
      </c>
      <c r="I24" s="15">
        <v>1700000.0</v>
      </c>
      <c r="J24" s="21" t="s">
        <v>46</v>
      </c>
      <c r="K24" s="15"/>
      <c r="L24" s="64">
        <f t="shared" si="1"/>
        <v>0</v>
      </c>
      <c r="M24" s="21" t="s">
        <v>46</v>
      </c>
      <c r="N24" s="21" t="s">
        <v>46</v>
      </c>
      <c r="S24" s="74" t="s">
        <v>451</v>
      </c>
      <c r="T24" s="79">
        <f>T22-T23</f>
        <v>450000</v>
      </c>
      <c r="U24" s="77">
        <f>T24/T22</f>
        <v>0.04043126685</v>
      </c>
    </row>
    <row r="25">
      <c r="A25" s="9" t="s">
        <v>352</v>
      </c>
      <c r="B25" s="8" t="s">
        <v>32</v>
      </c>
      <c r="C25" s="8" t="s">
        <v>353</v>
      </c>
      <c r="D25" s="8" t="s">
        <v>354</v>
      </c>
      <c r="E25" s="8" t="s">
        <v>355</v>
      </c>
      <c r="F25" s="8" t="s">
        <v>39</v>
      </c>
      <c r="G25" s="15">
        <v>500000.0</v>
      </c>
      <c r="H25" s="15">
        <v>500000.0</v>
      </c>
      <c r="I25" s="15">
        <v>500000.0</v>
      </c>
      <c r="J25" s="9" t="s">
        <v>45</v>
      </c>
      <c r="K25" s="15">
        <v>500000.0</v>
      </c>
      <c r="L25" s="64">
        <f t="shared" si="1"/>
        <v>1</v>
      </c>
      <c r="M25" s="9" t="s">
        <v>45</v>
      </c>
      <c r="N25" s="9" t="s">
        <v>45</v>
      </c>
    </row>
    <row r="27">
      <c r="S27" s="85" t="s">
        <v>462</v>
      </c>
      <c r="T27" s="2"/>
      <c r="U27" s="3"/>
    </row>
    <row r="28">
      <c r="A28" s="5" t="s">
        <v>6</v>
      </c>
      <c r="B28" s="5" t="s">
        <v>7</v>
      </c>
      <c r="C28" s="5" t="s">
        <v>8</v>
      </c>
      <c r="D28" s="5" t="s">
        <v>9</v>
      </c>
      <c r="E28" s="5" t="s">
        <v>10</v>
      </c>
      <c r="F28" s="5" t="s">
        <v>13</v>
      </c>
      <c r="G28" s="5" t="s">
        <v>18</v>
      </c>
      <c r="H28" s="5" t="s">
        <v>19</v>
      </c>
      <c r="I28" s="5" t="s">
        <v>20</v>
      </c>
      <c r="J28" s="5" t="s">
        <v>21</v>
      </c>
      <c r="K28" s="5" t="s">
        <v>22</v>
      </c>
      <c r="L28" s="5" t="s">
        <v>425</v>
      </c>
      <c r="M28" s="5" t="s">
        <v>27</v>
      </c>
      <c r="N28" s="5" t="s">
        <v>24</v>
      </c>
      <c r="S28" s="74"/>
      <c r="T28" s="73" t="s">
        <v>429</v>
      </c>
      <c r="U28" s="73" t="s">
        <v>430</v>
      </c>
    </row>
    <row r="29">
      <c r="A29" s="9" t="s">
        <v>50</v>
      </c>
      <c r="B29" s="8" t="s">
        <v>51</v>
      </c>
      <c r="C29" s="8" t="s">
        <v>52</v>
      </c>
      <c r="D29" s="8" t="s">
        <v>53</v>
      </c>
      <c r="E29" s="8" t="s">
        <v>54</v>
      </c>
      <c r="F29" s="8" t="s">
        <v>56</v>
      </c>
      <c r="G29" s="14">
        <v>5000000.0</v>
      </c>
      <c r="H29" s="14">
        <v>5000000.0</v>
      </c>
      <c r="I29" s="14">
        <v>5000000.0</v>
      </c>
      <c r="J29" s="9" t="s">
        <v>45</v>
      </c>
      <c r="K29" s="14">
        <v>5000000.0</v>
      </c>
      <c r="L29" s="64">
        <f t="shared" ref="L29:L35" si="2">IFERROR(I29/K29,"")</f>
        <v>1</v>
      </c>
      <c r="M29" s="9" t="s">
        <v>45</v>
      </c>
      <c r="N29" s="9" t="s">
        <v>45</v>
      </c>
      <c r="S29" s="74" t="s">
        <v>463</v>
      </c>
      <c r="T29" s="76">
        <f>COUNTA(A39:A42)</f>
        <v>4</v>
      </c>
      <c r="U29" s="77">
        <f>100%</f>
        <v>1</v>
      </c>
    </row>
    <row r="30">
      <c r="A30" s="9" t="s">
        <v>67</v>
      </c>
      <c r="B30" s="8" t="s">
        <v>68</v>
      </c>
      <c r="C30" s="8" t="s">
        <v>69</v>
      </c>
      <c r="D30" s="8" t="s">
        <v>70</v>
      </c>
      <c r="E30" s="8" t="s">
        <v>71</v>
      </c>
      <c r="F30" s="8" t="s">
        <v>56</v>
      </c>
      <c r="G30" s="14">
        <v>330000.0</v>
      </c>
      <c r="H30" s="14">
        <v>330000.0</v>
      </c>
      <c r="I30" s="14">
        <v>330000.0</v>
      </c>
      <c r="J30" s="9" t="s">
        <v>45</v>
      </c>
      <c r="K30" s="14">
        <v>330000.0</v>
      </c>
      <c r="L30" s="64">
        <f t="shared" si="2"/>
        <v>1</v>
      </c>
      <c r="M30" s="9" t="s">
        <v>45</v>
      </c>
      <c r="N30" s="9" t="s">
        <v>45</v>
      </c>
      <c r="S30" s="74" t="s">
        <v>464</v>
      </c>
      <c r="T30" s="76">
        <f>COUNTIF(K39:K42, "Em execução")</f>
        <v>4</v>
      </c>
      <c r="U30" s="77">
        <f>COUNTIF(K39:K42, "Em execução") / COUNTA(K39:K42)</f>
        <v>1</v>
      </c>
    </row>
    <row r="31">
      <c r="A31" s="9" t="s">
        <v>78</v>
      </c>
      <c r="B31" s="8" t="s">
        <v>80</v>
      </c>
      <c r="C31" s="8" t="s">
        <v>81</v>
      </c>
      <c r="D31" s="8" t="s">
        <v>83</v>
      </c>
      <c r="E31" s="8" t="s">
        <v>84</v>
      </c>
      <c r="F31" s="8" t="s">
        <v>56</v>
      </c>
      <c r="G31" s="14">
        <v>4000000.0</v>
      </c>
      <c r="H31" s="14">
        <v>4000000.0</v>
      </c>
      <c r="I31" s="14">
        <v>4000000.0</v>
      </c>
      <c r="J31" s="9" t="s">
        <v>45</v>
      </c>
      <c r="K31" s="14">
        <v>4000000.0</v>
      </c>
      <c r="L31" s="64">
        <f t="shared" si="2"/>
        <v>1</v>
      </c>
      <c r="M31" s="9" t="s">
        <v>45</v>
      </c>
      <c r="N31" s="9" t="s">
        <v>45</v>
      </c>
      <c r="S31" s="74" t="s">
        <v>465</v>
      </c>
      <c r="T31" s="76">
        <f>COUNTIF(K39:K42, "Paralisados")</f>
        <v>0</v>
      </c>
      <c r="U31" s="77">
        <f>COUNTIF(K39:K42, "Paralisado") / COUNTA(K39:K42)</f>
        <v>0</v>
      </c>
    </row>
    <row r="32">
      <c r="A32" s="9" t="s">
        <v>94</v>
      </c>
      <c r="B32" s="8" t="s">
        <v>68</v>
      </c>
      <c r="C32" s="8" t="s">
        <v>95</v>
      </c>
      <c r="D32" s="8" t="s">
        <v>433</v>
      </c>
      <c r="E32" s="8" t="s">
        <v>97</v>
      </c>
      <c r="F32" s="8" t="s">
        <v>56</v>
      </c>
      <c r="G32" s="14">
        <v>500000.0</v>
      </c>
      <c r="H32" s="14">
        <v>500000.0</v>
      </c>
      <c r="I32" s="14">
        <v>500000.0</v>
      </c>
      <c r="J32" s="9" t="s">
        <v>45</v>
      </c>
      <c r="K32" s="14">
        <v>500000.0</v>
      </c>
      <c r="L32" s="64">
        <f t="shared" si="2"/>
        <v>1</v>
      </c>
      <c r="M32" s="9" t="s">
        <v>45</v>
      </c>
      <c r="N32" s="9" t="s">
        <v>45</v>
      </c>
      <c r="S32" s="74" t="s">
        <v>466</v>
      </c>
      <c r="T32" s="79">
        <f>SUM(G39:G42)</f>
        <v>26502240</v>
      </c>
      <c r="U32" s="77">
        <f>100%</f>
        <v>1</v>
      </c>
    </row>
    <row r="33">
      <c r="A33" s="9" t="s">
        <v>108</v>
      </c>
      <c r="B33" s="8" t="s">
        <v>110</v>
      </c>
      <c r="C33" s="8" t="s">
        <v>112</v>
      </c>
      <c r="D33" s="8" t="s">
        <v>113</v>
      </c>
      <c r="E33" s="8" t="s">
        <v>114</v>
      </c>
      <c r="F33" s="8" t="s">
        <v>56</v>
      </c>
      <c r="G33" s="14">
        <v>450000.0</v>
      </c>
      <c r="H33" s="14">
        <v>450000.0</v>
      </c>
      <c r="I33" s="14">
        <v>450000.0</v>
      </c>
      <c r="J33" s="9" t="s">
        <v>46</v>
      </c>
      <c r="K33" s="23"/>
      <c r="L33" s="64" t="str">
        <f t="shared" si="2"/>
        <v/>
      </c>
      <c r="M33" s="9" t="s">
        <v>45</v>
      </c>
      <c r="N33" s="9" t="s">
        <v>45</v>
      </c>
      <c r="S33" s="74" t="s">
        <v>450</v>
      </c>
      <c r="T33" s="79">
        <f>SUM(I39:I42)</f>
        <v>26000000</v>
      </c>
      <c r="U33" s="77">
        <f>T33/T32</f>
        <v>0.9810491491</v>
      </c>
    </row>
    <row r="34">
      <c r="A34" s="9" t="s">
        <v>124</v>
      </c>
      <c r="B34" s="8" t="s">
        <v>80</v>
      </c>
      <c r="C34" s="8" t="s">
        <v>127</v>
      </c>
      <c r="D34" s="8" t="s">
        <v>129</v>
      </c>
      <c r="E34" s="8" t="s">
        <v>130</v>
      </c>
      <c r="F34" s="8" t="s">
        <v>56</v>
      </c>
      <c r="G34" s="14">
        <v>450000.0</v>
      </c>
      <c r="H34" s="14">
        <v>450000.0</v>
      </c>
      <c r="I34" s="14">
        <v>450000.0</v>
      </c>
      <c r="J34" s="9" t="s">
        <v>45</v>
      </c>
      <c r="K34" s="14">
        <v>450000.0</v>
      </c>
      <c r="L34" s="64">
        <f t="shared" si="2"/>
        <v>1</v>
      </c>
      <c r="M34" s="9" t="s">
        <v>45</v>
      </c>
      <c r="N34" s="9" t="s">
        <v>45</v>
      </c>
      <c r="S34" s="74" t="s">
        <v>451</v>
      </c>
      <c r="T34" s="79">
        <f>T32-T33</f>
        <v>502240</v>
      </c>
      <c r="U34" s="77">
        <f>T34/T32</f>
        <v>0.01895085095</v>
      </c>
      <c r="V34" s="86" t="s">
        <v>467</v>
      </c>
      <c r="W34" s="2"/>
      <c r="X34" s="2"/>
      <c r="Y34" s="2"/>
      <c r="Z34" s="2"/>
      <c r="AA34" s="3"/>
    </row>
    <row r="35">
      <c r="A35" s="9" t="s">
        <v>137</v>
      </c>
      <c r="B35" s="8" t="s">
        <v>80</v>
      </c>
      <c r="C35" s="8" t="s">
        <v>138</v>
      </c>
      <c r="D35" s="8" t="s">
        <v>139</v>
      </c>
      <c r="E35" s="8" t="s">
        <v>140</v>
      </c>
      <c r="F35" s="8" t="s">
        <v>56</v>
      </c>
      <c r="G35" s="14">
        <v>400000.0</v>
      </c>
      <c r="H35" s="14">
        <v>400000.0</v>
      </c>
      <c r="I35" s="14">
        <v>400000.0</v>
      </c>
      <c r="J35" s="9" t="s">
        <v>45</v>
      </c>
      <c r="K35" s="14">
        <v>400000.0</v>
      </c>
      <c r="L35" s="64">
        <f t="shared" si="2"/>
        <v>1</v>
      </c>
      <c r="M35" s="9" t="s">
        <v>45</v>
      </c>
      <c r="N35" s="9" t="s">
        <v>45</v>
      </c>
    </row>
    <row r="38">
      <c r="A38" s="5" t="s">
        <v>6</v>
      </c>
      <c r="B38" s="5" t="s">
        <v>7</v>
      </c>
      <c r="C38" s="5" t="s">
        <v>8</v>
      </c>
      <c r="D38" s="5" t="s">
        <v>10</v>
      </c>
      <c r="E38" s="5" t="s">
        <v>13</v>
      </c>
      <c r="F38" s="5" t="s">
        <v>406</v>
      </c>
      <c r="G38" s="5" t="s">
        <v>19</v>
      </c>
      <c r="H38" s="5" t="s">
        <v>21</v>
      </c>
      <c r="I38" s="5" t="s">
        <v>22</v>
      </c>
      <c r="J38" s="5" t="s">
        <v>425</v>
      </c>
      <c r="K38" s="5" t="s">
        <v>407</v>
      </c>
    </row>
    <row r="39">
      <c r="A39" s="9" t="s">
        <v>409</v>
      </c>
      <c r="B39" s="8" t="s">
        <v>222</v>
      </c>
      <c r="C39" s="8" t="s">
        <v>410</v>
      </c>
      <c r="D39" s="9" t="s">
        <v>411</v>
      </c>
      <c r="E39" s="8" t="s">
        <v>56</v>
      </c>
      <c r="F39" s="14">
        <v>5000000.0</v>
      </c>
      <c r="G39" s="14">
        <v>5000000.0</v>
      </c>
      <c r="H39" s="9" t="s">
        <v>45</v>
      </c>
      <c r="I39" s="14">
        <v>5000000.0</v>
      </c>
      <c r="J39" s="64">
        <f t="shared" ref="J39:J42" si="3">IFERROR(I39/G39,"")</f>
        <v>1</v>
      </c>
      <c r="K39" s="8" t="s">
        <v>412</v>
      </c>
    </row>
    <row r="40">
      <c r="A40" s="9" t="s">
        <v>413</v>
      </c>
      <c r="B40" s="8" t="s">
        <v>222</v>
      </c>
      <c r="C40" s="8" t="s">
        <v>414</v>
      </c>
      <c r="D40" s="9" t="s">
        <v>415</v>
      </c>
      <c r="E40" s="8" t="s">
        <v>56</v>
      </c>
      <c r="F40" s="14">
        <v>5000000.0</v>
      </c>
      <c r="G40" s="14">
        <v>5000000.0</v>
      </c>
      <c r="H40" s="9" t="s">
        <v>45</v>
      </c>
      <c r="I40" s="14">
        <v>5000000.0</v>
      </c>
      <c r="J40" s="64">
        <f t="shared" si="3"/>
        <v>1</v>
      </c>
      <c r="K40" s="8" t="s">
        <v>412</v>
      </c>
    </row>
    <row r="41">
      <c r="A41" s="9" t="s">
        <v>416</v>
      </c>
      <c r="B41" s="8" t="s">
        <v>222</v>
      </c>
      <c r="C41" s="8" t="s">
        <v>417</v>
      </c>
      <c r="D41" s="9" t="s">
        <v>418</v>
      </c>
      <c r="E41" s="8" t="s">
        <v>56</v>
      </c>
      <c r="F41" s="14">
        <v>4002240.0</v>
      </c>
      <c r="G41" s="14">
        <v>4002240.0</v>
      </c>
      <c r="H41" s="9" t="s">
        <v>45</v>
      </c>
      <c r="I41" s="14">
        <v>3500000.0</v>
      </c>
      <c r="J41" s="64">
        <f t="shared" si="3"/>
        <v>0.8745102742</v>
      </c>
      <c r="K41" s="8" t="s">
        <v>412</v>
      </c>
    </row>
    <row r="42">
      <c r="A42" s="9" t="s">
        <v>420</v>
      </c>
      <c r="B42" s="8" t="s">
        <v>68</v>
      </c>
      <c r="C42" s="8" t="s">
        <v>421</v>
      </c>
      <c r="D42" s="9" t="s">
        <v>422</v>
      </c>
      <c r="E42" s="8" t="s">
        <v>56</v>
      </c>
      <c r="F42" s="14">
        <v>1.25E7</v>
      </c>
      <c r="G42" s="14">
        <v>1.25E7</v>
      </c>
      <c r="H42" s="9" t="s">
        <v>45</v>
      </c>
      <c r="I42" s="14">
        <v>1.25E7</v>
      </c>
      <c r="J42" s="64">
        <f t="shared" si="3"/>
        <v>1</v>
      </c>
      <c r="K42" s="8" t="s">
        <v>412</v>
      </c>
    </row>
  </sheetData>
  <mergeCells count="4">
    <mergeCell ref="S3:U3"/>
    <mergeCell ref="S15:U15"/>
    <mergeCell ref="S27:U27"/>
    <mergeCell ref="V34:AA34"/>
  </mergeCells>
  <conditionalFormatting sqref="J2:J26 M2:N26 J28:J36 M28:N36 H38:H43 K38:K43">
    <cfRule type="containsText" dxfId="5" priority="1" operator="containsText" text="SIM">
      <formula>NOT(ISERROR(SEARCH(("SIM"),(J2))))</formula>
    </cfRule>
  </conditionalFormatting>
  <conditionalFormatting sqref="J2:J26 M2:N26 J28:J36 M28:N36 H38:H43 K38:K43">
    <cfRule type="containsText" dxfId="6" priority="2" operator="containsText" text="NÃO">
      <formula>NOT(ISERROR(SEARCH(("NÃO"),(J2))))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75"/>
  <cols>
    <col customWidth="1" min="1" max="1" width="41.33"/>
    <col customWidth="1" min="3" max="3" width="17.11"/>
    <col customWidth="1" min="5" max="5" width="18.89"/>
    <col customWidth="1" min="7" max="8" width="15.78"/>
    <col customWidth="1" min="9" max="9" width="16.11"/>
    <col customWidth="1" min="10" max="10" width="11.78"/>
    <col customWidth="1" min="12" max="13" width="12.67"/>
    <col customWidth="1" min="18" max="18" width="36.44"/>
    <col customWidth="1" min="19" max="19" width="14.33"/>
    <col customWidth="1" min="20" max="20" width="12.67"/>
  </cols>
  <sheetData>
    <row r="1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13</v>
      </c>
      <c r="G1" s="5" t="s">
        <v>18</v>
      </c>
      <c r="H1" s="5" t="s">
        <v>423</v>
      </c>
      <c r="I1" s="5" t="s">
        <v>424</v>
      </c>
      <c r="J1" s="5" t="s">
        <v>21</v>
      </c>
      <c r="K1" s="5" t="s">
        <v>22</v>
      </c>
      <c r="L1" s="5" t="s">
        <v>432</v>
      </c>
      <c r="M1" s="5" t="s">
        <v>23</v>
      </c>
      <c r="N1" s="5" t="s">
        <v>24</v>
      </c>
    </row>
    <row r="2">
      <c r="A2" s="9" t="s">
        <v>358</v>
      </c>
      <c r="B2" s="8" t="s">
        <v>110</v>
      </c>
      <c r="C2" s="8" t="s">
        <v>359</v>
      </c>
      <c r="D2" s="8" t="s">
        <v>360</v>
      </c>
      <c r="E2" s="8" t="s">
        <v>361</v>
      </c>
      <c r="F2" s="8" t="s">
        <v>111</v>
      </c>
      <c r="G2" s="15">
        <v>500000.0</v>
      </c>
      <c r="H2" s="15">
        <v>505000.0</v>
      </c>
      <c r="I2" s="15">
        <v>500000.0</v>
      </c>
      <c r="J2" s="21" t="s">
        <v>46</v>
      </c>
      <c r="K2" s="78"/>
      <c r="L2" s="8" t="s">
        <v>434</v>
      </c>
      <c r="M2" s="8" t="s">
        <v>435</v>
      </c>
      <c r="N2" s="8" t="s">
        <v>436</v>
      </c>
      <c r="R2" s="69" t="s">
        <v>437</v>
      </c>
      <c r="S2" s="2"/>
      <c r="T2" s="3"/>
    </row>
    <row r="3">
      <c r="A3" s="9" t="s">
        <v>367</v>
      </c>
      <c r="B3" s="8" t="s">
        <v>110</v>
      </c>
      <c r="C3" s="8" t="s">
        <v>368</v>
      </c>
      <c r="D3" s="8" t="s">
        <v>369</v>
      </c>
      <c r="E3" s="8" t="s">
        <v>370</v>
      </c>
      <c r="F3" s="8" t="s">
        <v>111</v>
      </c>
      <c r="G3" s="15">
        <v>500000.0</v>
      </c>
      <c r="H3" s="15">
        <v>505000.0</v>
      </c>
      <c r="I3" s="15">
        <v>500000.0</v>
      </c>
      <c r="J3" s="21" t="s">
        <v>46</v>
      </c>
      <c r="K3" s="78"/>
      <c r="L3" s="8" t="s">
        <v>434</v>
      </c>
      <c r="M3" s="8" t="s">
        <v>435</v>
      </c>
      <c r="N3" s="8" t="s">
        <v>436</v>
      </c>
      <c r="R3" s="17"/>
      <c r="S3" s="73" t="s">
        <v>429</v>
      </c>
      <c r="T3" s="73" t="s">
        <v>430</v>
      </c>
    </row>
    <row r="4">
      <c r="A4" s="9" t="s">
        <v>373</v>
      </c>
      <c r="B4" s="8" t="s">
        <v>171</v>
      </c>
      <c r="C4" s="8" t="s">
        <v>374</v>
      </c>
      <c r="D4" s="8" t="s">
        <v>375</v>
      </c>
      <c r="E4" s="8" t="s">
        <v>376</v>
      </c>
      <c r="F4" s="8" t="s">
        <v>111</v>
      </c>
      <c r="G4" s="15">
        <v>1000000.0</v>
      </c>
      <c r="H4" s="15">
        <v>1010000.0</v>
      </c>
      <c r="I4" s="15">
        <v>1000000.0</v>
      </c>
      <c r="J4" s="21" t="s">
        <v>46</v>
      </c>
      <c r="K4" s="78"/>
      <c r="L4" s="8" t="s">
        <v>434</v>
      </c>
      <c r="M4" s="8" t="s">
        <v>435</v>
      </c>
      <c r="N4" s="8" t="s">
        <v>436</v>
      </c>
      <c r="R4" s="74" t="s">
        <v>439</v>
      </c>
      <c r="S4" s="76">
        <f>COUNTA(A2:A8)</f>
        <v>7</v>
      </c>
      <c r="T4" s="77">
        <f>100%</f>
        <v>1</v>
      </c>
    </row>
    <row r="5">
      <c r="A5" s="9" t="s">
        <v>378</v>
      </c>
      <c r="B5" s="8" t="s">
        <v>68</v>
      </c>
      <c r="C5" s="8" t="s">
        <v>379</v>
      </c>
      <c r="D5" s="8" t="s">
        <v>386</v>
      </c>
      <c r="E5" s="8" t="s">
        <v>387</v>
      </c>
      <c r="F5" s="8" t="s">
        <v>111</v>
      </c>
      <c r="G5" s="15">
        <v>1000000.0</v>
      </c>
      <c r="H5" s="15">
        <v>1010000.0</v>
      </c>
      <c r="I5" s="15">
        <v>1000000.0</v>
      </c>
      <c r="J5" s="21" t="s">
        <v>46</v>
      </c>
      <c r="K5" s="78"/>
      <c r="L5" s="8" t="s">
        <v>441</v>
      </c>
      <c r="M5" s="8" t="s">
        <v>442</v>
      </c>
      <c r="N5" s="8" t="s">
        <v>442</v>
      </c>
      <c r="R5" s="74" t="s">
        <v>443</v>
      </c>
      <c r="S5" s="76">
        <f>COUNTIF(L2:L8, "CELEBRADO")</f>
        <v>3</v>
      </c>
      <c r="T5" s="77">
        <f t="shared" ref="T5:T6" si="1">S5/S$4</f>
        <v>0.4285714286</v>
      </c>
    </row>
    <row r="6">
      <c r="A6" s="9" t="s">
        <v>352</v>
      </c>
      <c r="B6" s="8" t="s">
        <v>32</v>
      </c>
      <c r="C6" s="8" t="s">
        <v>384</v>
      </c>
      <c r="D6" s="8" t="s">
        <v>394</v>
      </c>
      <c r="E6" s="8" t="s">
        <v>395</v>
      </c>
      <c r="F6" s="8" t="s">
        <v>39</v>
      </c>
      <c r="G6" s="15">
        <v>500000.0</v>
      </c>
      <c r="H6" s="15">
        <v>525000.0</v>
      </c>
      <c r="I6" s="15">
        <v>500000.0</v>
      </c>
      <c r="J6" s="21" t="s">
        <v>46</v>
      </c>
      <c r="K6" s="78"/>
      <c r="L6" s="8" t="s">
        <v>441</v>
      </c>
      <c r="M6" s="8" t="s">
        <v>442</v>
      </c>
      <c r="N6" s="8" t="s">
        <v>442</v>
      </c>
      <c r="R6" s="74" t="s">
        <v>445</v>
      </c>
      <c r="S6" s="76">
        <f>COUNTIF(L2:L8, "NÃO CELEBRADO")</f>
        <v>4</v>
      </c>
      <c r="T6" s="77">
        <f t="shared" si="1"/>
        <v>0.5714285714</v>
      </c>
    </row>
    <row r="7">
      <c r="A7" s="9" t="s">
        <v>391</v>
      </c>
      <c r="B7" s="8" t="s">
        <v>32</v>
      </c>
      <c r="C7" s="8" t="s">
        <v>390</v>
      </c>
      <c r="D7" s="8" t="s">
        <v>397</v>
      </c>
      <c r="E7" s="8" t="s">
        <v>398</v>
      </c>
      <c r="F7" s="8" t="s">
        <v>111</v>
      </c>
      <c r="G7" s="15">
        <v>250000.0</v>
      </c>
      <c r="H7" s="15">
        <v>263618.48</v>
      </c>
      <c r="I7" s="15"/>
      <c r="J7" s="21" t="s">
        <v>46</v>
      </c>
      <c r="K7" s="78"/>
      <c r="L7" s="8" t="s">
        <v>441</v>
      </c>
      <c r="M7" s="8" t="s">
        <v>442</v>
      </c>
      <c r="N7" s="8" t="s">
        <v>442</v>
      </c>
      <c r="R7" s="9" t="s">
        <v>447</v>
      </c>
      <c r="S7" s="79">
        <f>SUM(G2:G8)</f>
        <v>4000000</v>
      </c>
      <c r="T7" s="77">
        <f>100%</f>
        <v>1</v>
      </c>
    </row>
    <row r="8">
      <c r="A8" s="9" t="s">
        <v>385</v>
      </c>
      <c r="B8" s="8" t="s">
        <v>32</v>
      </c>
      <c r="C8" s="8"/>
      <c r="D8" s="8" t="s">
        <v>402</v>
      </c>
      <c r="E8" s="8"/>
      <c r="F8" s="8" t="s">
        <v>111</v>
      </c>
      <c r="G8" s="15">
        <v>250000.0</v>
      </c>
      <c r="H8" s="15">
        <v>251000.0</v>
      </c>
      <c r="I8" s="15"/>
      <c r="J8" s="21" t="s">
        <v>46</v>
      </c>
      <c r="K8" s="78"/>
      <c r="L8" s="8" t="s">
        <v>441</v>
      </c>
      <c r="M8" s="8" t="s">
        <v>442</v>
      </c>
      <c r="N8" s="8" t="s">
        <v>442</v>
      </c>
      <c r="R8" s="74" t="s">
        <v>448</v>
      </c>
      <c r="S8" s="79">
        <f>SUM(I2:I8)</f>
        <v>3500000</v>
      </c>
      <c r="T8" s="77">
        <f>S8/S7</f>
        <v>0.875</v>
      </c>
    </row>
    <row r="9">
      <c r="G9" s="80">
        <f t="shared" ref="G9:I9" si="2">SUM(G2:G8)</f>
        <v>4000000</v>
      </c>
      <c r="H9" s="80">
        <f t="shared" si="2"/>
        <v>4069618.48</v>
      </c>
      <c r="I9" s="80">
        <f t="shared" si="2"/>
        <v>3500000</v>
      </c>
      <c r="R9" s="74" t="s">
        <v>449</v>
      </c>
      <c r="S9" s="79">
        <f>S7-S8</f>
        <v>500000</v>
      </c>
      <c r="T9" s="81">
        <f>S9/S7</f>
        <v>0.125</v>
      </c>
    </row>
    <row r="10">
      <c r="R10" s="74" t="s">
        <v>450</v>
      </c>
      <c r="S10" s="79">
        <f>SUM(K2:K8)</f>
        <v>0</v>
      </c>
      <c r="T10" s="81">
        <f>S10/S7</f>
        <v>0</v>
      </c>
    </row>
    <row r="11">
      <c r="R11" s="74" t="s">
        <v>451</v>
      </c>
      <c r="S11" s="79">
        <f>S8</f>
        <v>3500000</v>
      </c>
      <c r="T11" s="77">
        <f>S11/S7</f>
        <v>0.875</v>
      </c>
    </row>
    <row r="12">
      <c r="A12" s="5" t="s">
        <v>6</v>
      </c>
      <c r="B12" s="5" t="s">
        <v>7</v>
      </c>
      <c r="C12" s="5" t="s">
        <v>8</v>
      </c>
      <c r="D12" s="5" t="s">
        <v>9</v>
      </c>
      <c r="E12" s="5" t="s">
        <v>10</v>
      </c>
      <c r="F12" s="5" t="s">
        <v>13</v>
      </c>
      <c r="G12" s="5" t="s">
        <v>18</v>
      </c>
      <c r="H12" s="5" t="s">
        <v>19</v>
      </c>
      <c r="I12" s="5" t="s">
        <v>20</v>
      </c>
      <c r="J12" s="5" t="s">
        <v>21</v>
      </c>
      <c r="K12" s="5" t="s">
        <v>22</v>
      </c>
      <c r="L12" s="5" t="s">
        <v>432</v>
      </c>
      <c r="M12" s="5" t="s">
        <v>27</v>
      </c>
      <c r="N12" s="5" t="s">
        <v>24</v>
      </c>
    </row>
    <row r="13">
      <c r="A13" s="9" t="s">
        <v>155</v>
      </c>
      <c r="B13" s="8" t="s">
        <v>80</v>
      </c>
      <c r="C13" s="8" t="s">
        <v>452</v>
      </c>
      <c r="D13" s="8" t="s">
        <v>160</v>
      </c>
      <c r="E13" s="32"/>
      <c r="F13" s="8" t="s">
        <v>56</v>
      </c>
      <c r="G13" s="14">
        <v>2500000.0</v>
      </c>
      <c r="H13" s="14">
        <v>2500000.0</v>
      </c>
      <c r="I13" s="14"/>
      <c r="J13" s="9" t="s">
        <v>46</v>
      </c>
      <c r="K13" s="23"/>
      <c r="L13" s="8" t="s">
        <v>441</v>
      </c>
      <c r="M13" s="8" t="s">
        <v>442</v>
      </c>
      <c r="N13" s="8" t="s">
        <v>442</v>
      </c>
    </row>
    <row r="14">
      <c r="A14" s="9" t="s">
        <v>180</v>
      </c>
      <c r="B14" s="8" t="s">
        <v>181</v>
      </c>
      <c r="C14" s="8" t="s">
        <v>182</v>
      </c>
      <c r="D14" s="8" t="s">
        <v>183</v>
      </c>
      <c r="E14" s="8" t="s">
        <v>184</v>
      </c>
      <c r="F14" s="8" t="s">
        <v>56</v>
      </c>
      <c r="G14" s="14">
        <v>2500000.0</v>
      </c>
      <c r="H14" s="14">
        <v>2500000.0</v>
      </c>
      <c r="I14" s="14">
        <v>2500000.0</v>
      </c>
      <c r="J14" s="21" t="s">
        <v>46</v>
      </c>
      <c r="K14" s="23"/>
      <c r="L14" s="8" t="s">
        <v>441</v>
      </c>
      <c r="M14" s="8" t="s">
        <v>442</v>
      </c>
      <c r="N14" s="8" t="s">
        <v>442</v>
      </c>
      <c r="R14" s="82" t="s">
        <v>454</v>
      </c>
      <c r="S14" s="2"/>
      <c r="T14" s="3"/>
    </row>
    <row r="15">
      <c r="A15" s="9" t="s">
        <v>192</v>
      </c>
      <c r="B15" s="8" t="s">
        <v>80</v>
      </c>
      <c r="C15" s="8" t="s">
        <v>194</v>
      </c>
      <c r="D15" s="8" t="s">
        <v>196</v>
      </c>
      <c r="E15" s="8" t="s">
        <v>198</v>
      </c>
      <c r="F15" s="8" t="s">
        <v>39</v>
      </c>
      <c r="G15" s="14">
        <v>250000.0</v>
      </c>
      <c r="H15" s="14">
        <v>250000.0</v>
      </c>
      <c r="I15" s="14">
        <v>250000.0</v>
      </c>
      <c r="J15" s="21" t="s">
        <v>46</v>
      </c>
      <c r="K15" s="23"/>
      <c r="L15" s="8" t="s">
        <v>441</v>
      </c>
      <c r="M15" s="8" t="s">
        <v>442</v>
      </c>
      <c r="N15" s="8" t="s">
        <v>442</v>
      </c>
      <c r="R15" s="83"/>
      <c r="S15" s="83"/>
      <c r="T15" s="83"/>
    </row>
    <row r="16">
      <c r="A16" s="9" t="s">
        <v>205</v>
      </c>
      <c r="B16" s="8" t="s">
        <v>80</v>
      </c>
      <c r="C16" s="8" t="s">
        <v>207</v>
      </c>
      <c r="D16" s="8" t="s">
        <v>209</v>
      </c>
      <c r="E16" s="8" t="s">
        <v>210</v>
      </c>
      <c r="F16" s="8" t="s">
        <v>39</v>
      </c>
      <c r="G16" s="14">
        <v>500000.0</v>
      </c>
      <c r="H16" s="14">
        <v>500000.0</v>
      </c>
      <c r="I16" s="14"/>
      <c r="J16" s="21" t="s">
        <v>46</v>
      </c>
      <c r="K16" s="23"/>
      <c r="L16" s="8" t="s">
        <v>441</v>
      </c>
      <c r="M16" s="8" t="s">
        <v>442</v>
      </c>
      <c r="N16" s="8" t="s">
        <v>442</v>
      </c>
      <c r="R16" s="74"/>
      <c r="S16" s="73" t="s">
        <v>429</v>
      </c>
      <c r="T16" s="73" t="s">
        <v>430</v>
      </c>
    </row>
    <row r="17">
      <c r="G17" s="80">
        <f t="shared" ref="G17:I17" si="3">SUM(G13:G16)</f>
        <v>5750000</v>
      </c>
      <c r="H17" s="80">
        <f t="shared" si="3"/>
        <v>5750000</v>
      </c>
      <c r="I17" s="80">
        <f t="shared" si="3"/>
        <v>2750000</v>
      </c>
      <c r="R17" s="74" t="s">
        <v>458</v>
      </c>
      <c r="S17" s="76">
        <f>COUNTA(A13:A16)</f>
        <v>4</v>
      </c>
      <c r="T17" s="77">
        <f>100%</f>
        <v>1</v>
      </c>
    </row>
    <row r="18">
      <c r="R18" s="74" t="s">
        <v>443</v>
      </c>
      <c r="S18" s="76">
        <f>COUNTIF(L13:L16, "CELEBRADO")</f>
        <v>0</v>
      </c>
      <c r="T18" s="77">
        <f t="shared" ref="T18:T19" si="4">S18/S$17</f>
        <v>0</v>
      </c>
    </row>
    <row r="19">
      <c r="P19" s="84" t="s">
        <v>460</v>
      </c>
      <c r="R19" s="74" t="s">
        <v>445</v>
      </c>
      <c r="S19" s="76">
        <f>COUNTIF(L13:L16, "NÃO CELEBRADO")</f>
        <v>4</v>
      </c>
      <c r="T19" s="77">
        <f t="shared" si="4"/>
        <v>1</v>
      </c>
    </row>
    <row r="20">
      <c r="R20" s="9" t="s">
        <v>447</v>
      </c>
      <c r="S20" s="79">
        <f>SUM(G13:G16)</f>
        <v>5750000</v>
      </c>
      <c r="T20" s="77">
        <f>100%</f>
        <v>1</v>
      </c>
    </row>
    <row r="21">
      <c r="R21" s="74" t="s">
        <v>448</v>
      </c>
      <c r="S21" s="79">
        <f>SUM(I13:I16)</f>
        <v>2750000</v>
      </c>
      <c r="T21" s="77">
        <f>S21/S20</f>
        <v>0.4782608696</v>
      </c>
    </row>
    <row r="22">
      <c r="R22" s="74" t="s">
        <v>449</v>
      </c>
      <c r="S22" s="79">
        <f>S20-S21</f>
        <v>3000000</v>
      </c>
      <c r="T22" s="77">
        <f>S22/S20</f>
        <v>0.5217391304</v>
      </c>
    </row>
    <row r="23">
      <c r="R23" s="74" t="s">
        <v>450</v>
      </c>
      <c r="S23" s="79">
        <f>SUM(K13:K16)</f>
        <v>0</v>
      </c>
      <c r="T23" s="77">
        <f>S23/S20</f>
        <v>0</v>
      </c>
    </row>
    <row r="24">
      <c r="R24" s="74" t="s">
        <v>451</v>
      </c>
      <c r="S24" s="79">
        <f>S21</f>
        <v>2750000</v>
      </c>
      <c r="T24" s="77">
        <f>S24/S20</f>
        <v>0.4782608696</v>
      </c>
    </row>
  </sheetData>
  <mergeCells count="3">
    <mergeCell ref="R2:T2"/>
    <mergeCell ref="R14:T14"/>
    <mergeCell ref="U18:Z18"/>
  </mergeCells>
  <conditionalFormatting sqref="J2:N8 J10:J16 L10:N16">
    <cfRule type="containsText" dxfId="5" priority="1" operator="containsText" text="SIM">
      <formula>NOT(ISERROR(SEARCH(("SIM"),(J2))))</formula>
    </cfRule>
  </conditionalFormatting>
  <conditionalFormatting sqref="J2:N8 J10:J16 L10:N16">
    <cfRule type="containsText" dxfId="6" priority="2" operator="containsText" text="NÃO">
      <formula>NOT(ISERROR(SEARCH(("NÃO"),(J2))))</formula>
    </cfRule>
  </conditionalFormatting>
  <conditionalFormatting sqref="L2:L8 L12:L16">
    <cfRule type="containsText" dxfId="5" priority="3" operator="containsText" text="CELEBRADO">
      <formula>NOT(ISERROR(SEARCH(("CELEBRADO"),(L2))))</formula>
    </cfRule>
  </conditionalFormatting>
  <printOptions horizontalCentered="1"/>
  <pageMargins bottom="0.75" footer="0.0" header="0.0" left="0.25" right="0.25" top="0.75"/>
  <pageSetup paperSize="9" orientation="landscape" pageOrder="overThenDown"/>
  <rowBreaks count="1" manualBreakCount="1">
    <brk id="17" man="1"/>
  </rowBreaks>
  <colBreaks count="2" manualBreakCount="2">
    <brk man="1"/>
    <brk id="14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75"/>
  <cols>
    <col customWidth="1" min="1" max="1" width="36.22"/>
    <col customWidth="1" min="2" max="2" width="14.33"/>
    <col customWidth="1" min="3" max="3" width="9.78"/>
  </cols>
  <sheetData>
    <row r="1">
      <c r="A1" s="69" t="s">
        <v>437</v>
      </c>
      <c r="B1" s="2"/>
      <c r="C1" s="3"/>
    </row>
    <row r="2">
      <c r="A2" s="17"/>
      <c r="B2" s="73" t="s">
        <v>429</v>
      </c>
      <c r="C2" s="73" t="s">
        <v>430</v>
      </c>
    </row>
    <row r="3">
      <c r="A3" s="74" t="s">
        <v>439</v>
      </c>
      <c r="B3" s="76">
        <f>COUNTA('Instrumentos Celebrados - 2026'!A2:A8)</f>
        <v>7</v>
      </c>
      <c r="C3" s="77">
        <f>100%</f>
        <v>1</v>
      </c>
    </row>
    <row r="4">
      <c r="A4" s="74" t="s">
        <v>443</v>
      </c>
      <c r="B4" s="76">
        <f>COUNTIF('Instrumentos Celebrados - 2026'!L2:L8, "CELEBRADO")</f>
        <v>3</v>
      </c>
      <c r="C4" s="77">
        <f>B4/B3</f>
        <v>0.4285714286</v>
      </c>
    </row>
    <row r="5">
      <c r="A5" s="74" t="s">
        <v>445</v>
      </c>
      <c r="B5" s="76">
        <f>COUNTIF('Instrumentos Celebrados - 2026'!L2:L8, "NÃO CELEBRADO")</f>
        <v>4</v>
      </c>
      <c r="C5" s="77">
        <f>B5/B3</f>
        <v>0.5714285714</v>
      </c>
    </row>
    <row r="6">
      <c r="A6" s="9" t="s">
        <v>447</v>
      </c>
      <c r="B6" s="79">
        <f>SUM('Instrumentos Celebrados - 2026'!G2:G8)</f>
        <v>4000000</v>
      </c>
      <c r="C6" s="77">
        <f>100%</f>
        <v>1</v>
      </c>
    </row>
    <row r="7">
      <c r="A7" s="74" t="s">
        <v>448</v>
      </c>
      <c r="B7" s="79">
        <f>SUM('Instrumentos Celebrados - 2026'!I2:I8)</f>
        <v>3500000</v>
      </c>
      <c r="C7" s="77">
        <f>B7/B6</f>
        <v>0.875</v>
      </c>
    </row>
    <row r="8">
      <c r="A8" s="74" t="s">
        <v>449</v>
      </c>
      <c r="B8" s="79">
        <f>B6-B7</f>
        <v>500000</v>
      </c>
      <c r="C8" s="81">
        <f>B8/B6</f>
        <v>0.125</v>
      </c>
    </row>
    <row r="9">
      <c r="A9" s="74" t="s">
        <v>450</v>
      </c>
      <c r="B9" s="79">
        <f>SUM('Instrumentos Celebrados - 2026'!K2:K8)</f>
        <v>0</v>
      </c>
      <c r="C9" s="81">
        <f>B9/B6</f>
        <v>0</v>
      </c>
    </row>
    <row r="10">
      <c r="A10" s="74" t="s">
        <v>451</v>
      </c>
      <c r="B10" s="79">
        <f>B7</f>
        <v>3500000</v>
      </c>
      <c r="C10" s="77">
        <f>B10/B6</f>
        <v>0.875</v>
      </c>
    </row>
    <row r="13">
      <c r="A13" s="82" t="s">
        <v>454</v>
      </c>
      <c r="B13" s="2"/>
      <c r="C13" s="3"/>
    </row>
    <row r="14">
      <c r="A14" s="74"/>
      <c r="B14" s="73" t="s">
        <v>429</v>
      </c>
      <c r="C14" s="73" t="s">
        <v>430</v>
      </c>
    </row>
    <row r="15">
      <c r="A15" s="74" t="s">
        <v>458</v>
      </c>
      <c r="B15" s="76">
        <f>COUNTA('Instrumentos Celebrados - 2026'!A13:A16)</f>
        <v>4</v>
      </c>
      <c r="C15" s="77">
        <f>100%</f>
        <v>1</v>
      </c>
    </row>
    <row r="16">
      <c r="A16" s="74" t="s">
        <v>443</v>
      </c>
      <c r="B16" s="76">
        <f>COUNTIF('Instrumentos Celebrados - 2026'!L13:L16, "CELEBRADO")</f>
        <v>0</v>
      </c>
      <c r="C16" s="77">
        <f>B16/B15</f>
        <v>0</v>
      </c>
    </row>
    <row r="17">
      <c r="A17" s="74" t="s">
        <v>445</v>
      </c>
      <c r="B17" s="76">
        <f>COUNTIF('Instrumentos Celebrados - 2026'!L13:L16, "NÃO CELEBRADO")</f>
        <v>4</v>
      </c>
      <c r="C17" s="77">
        <f>B17/B15</f>
        <v>1</v>
      </c>
    </row>
    <row r="18">
      <c r="A18" s="9" t="s">
        <v>447</v>
      </c>
      <c r="B18" s="79">
        <f>SUM('Instrumentos Celebrados - 2026'!G13:G16)</f>
        <v>5750000</v>
      </c>
      <c r="C18" s="77">
        <f>100%</f>
        <v>1</v>
      </c>
    </row>
    <row r="19">
      <c r="A19" s="74" t="s">
        <v>448</v>
      </c>
      <c r="B19" s="79">
        <f>SUM('Instrumentos Celebrados - 2026'!I13:I15)</f>
        <v>2750000</v>
      </c>
      <c r="C19" s="77">
        <f>B19/B18</f>
        <v>0.4782608696</v>
      </c>
    </row>
    <row r="20">
      <c r="A20" s="74" t="s">
        <v>449</v>
      </c>
      <c r="B20" s="79">
        <f>B18-B19</f>
        <v>3000000</v>
      </c>
      <c r="C20" s="77">
        <f>B20/B18</f>
        <v>0.5217391304</v>
      </c>
    </row>
    <row r="21">
      <c r="A21" s="74" t="s">
        <v>450</v>
      </c>
      <c r="B21" s="79">
        <f>SUM('Instrumentos Celebrados - 2026'!K13:K16)</f>
        <v>0</v>
      </c>
      <c r="C21" s="77">
        <f>B21/B18</f>
        <v>0</v>
      </c>
    </row>
    <row r="22">
      <c r="A22" s="74" t="s">
        <v>451</v>
      </c>
      <c r="B22" s="79">
        <f>B19</f>
        <v>2750000</v>
      </c>
      <c r="C22" s="77">
        <f>B22/B18</f>
        <v>0.4782608696</v>
      </c>
    </row>
  </sheetData>
  <mergeCells count="2">
    <mergeCell ref="A1:C1"/>
    <mergeCell ref="A13:C13"/>
  </mergeCells>
  <printOptions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15.44"/>
  </cols>
  <sheetData>
    <row r="1">
      <c r="A1" s="87" t="s">
        <v>5</v>
      </c>
      <c r="B1" s="87" t="s">
        <v>468</v>
      </c>
    </row>
    <row r="2">
      <c r="A2" s="88">
        <v>2026.0</v>
      </c>
      <c r="B2" s="89">
        <v>1.0E8</v>
      </c>
    </row>
    <row r="3">
      <c r="A3" s="36"/>
    </row>
    <row r="4">
      <c r="A4" s="36"/>
    </row>
    <row r="5">
      <c r="A5" s="36"/>
    </row>
    <row r="6">
      <c r="A6" s="36"/>
    </row>
    <row r="7">
      <c r="A7" s="36"/>
    </row>
    <row r="8">
      <c r="A8" s="3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44.22"/>
    <col customWidth="1" min="2" max="2" width="13.22"/>
    <col customWidth="1" min="3" max="3" width="19.78"/>
  </cols>
  <sheetData>
    <row r="1"/>
    <row r="2"/>
    <row r="3"/>
    <row r="4"/>
    <row r="5"/>
    <row r="6"/>
  </sheetData>
  <drawing r:id="rId2"/>
</worksheet>
</file>